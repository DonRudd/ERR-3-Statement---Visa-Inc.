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hra\OneDrive\Desktop\3-Statement Model Visa\"/>
    </mc:Choice>
  </mc:AlternateContent>
  <xr:revisionPtr revIDLastSave="0" documentId="13_ncr:1_{022721DC-915B-4191-85C7-1874EE362E1F}" xr6:coauthVersionLast="47" xr6:coauthVersionMax="47" xr10:uidLastSave="{00000000-0000-0000-0000-000000000000}"/>
  <bookViews>
    <workbookView xWindow="-120" yWindow="-120" windowWidth="20730" windowHeight="11040" xr2:uid="{964B22D8-42B5-47E9-A229-95F7D57B30E0}"/>
  </bookViews>
  <sheets>
    <sheet name="Model" sheetId="1" r:id="rId1"/>
    <sheet name="More Historic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1" l="1"/>
  <c r="H117" i="1"/>
  <c r="I117" i="1"/>
  <c r="J117" i="1"/>
  <c r="F117" i="1"/>
  <c r="G116" i="1"/>
  <c r="H116" i="1"/>
  <c r="I116" i="1"/>
  <c r="J116" i="1"/>
  <c r="F116" i="1"/>
  <c r="G114" i="1"/>
  <c r="H114" i="1"/>
  <c r="I114" i="1" s="1"/>
  <c r="J114" i="1" s="1"/>
  <c r="F114" i="1"/>
  <c r="G164" i="1"/>
  <c r="H164" i="1"/>
  <c r="I164" i="1"/>
  <c r="J164" i="1"/>
  <c r="F164" i="1"/>
  <c r="G80" i="1"/>
  <c r="H80" i="1"/>
  <c r="I80" i="1"/>
  <c r="J80" i="1"/>
  <c r="F80" i="1"/>
  <c r="G92" i="1"/>
  <c r="H92" i="1"/>
  <c r="I92" i="1"/>
  <c r="J92" i="1"/>
  <c r="F92" i="1"/>
  <c r="J5" i="2"/>
  <c r="I8" i="2"/>
  <c r="E4" i="1"/>
  <c r="D4" i="1"/>
  <c r="C4" i="1"/>
  <c r="G4" i="1" l="1"/>
  <c r="J4" i="1" s="1"/>
  <c r="F160" i="1"/>
  <c r="D41" i="1" l="1"/>
  <c r="F48" i="1"/>
  <c r="F155" i="1" s="1"/>
  <c r="E9" i="1"/>
  <c r="F61" i="1"/>
  <c r="C39" i="1"/>
  <c r="E33" i="1" l="1"/>
  <c r="E38" i="1"/>
  <c r="E44" i="1"/>
  <c r="D45" i="1"/>
  <c r="E45" i="1"/>
  <c r="C45" i="1"/>
  <c r="D38" i="1"/>
  <c r="D44" i="1"/>
  <c r="E35" i="1"/>
  <c r="D42" i="1"/>
  <c r="D36" i="1"/>
  <c r="C44" i="1"/>
  <c r="D33" i="1"/>
  <c r="E42" i="1"/>
  <c r="F154" i="1"/>
  <c r="F152" i="1"/>
  <c r="C43" i="1"/>
  <c r="C42" i="1"/>
  <c r="E43" i="1"/>
  <c r="D43" i="1"/>
  <c r="C34" i="1"/>
  <c r="C36" i="1"/>
  <c r="C35" i="1"/>
  <c r="E34" i="1"/>
  <c r="D35" i="1"/>
  <c r="F103" i="1"/>
  <c r="F97" i="1"/>
  <c r="F96" i="1"/>
  <c r="F107" i="1"/>
  <c r="F99" i="1"/>
  <c r="F101" i="1"/>
  <c r="F98" i="1"/>
  <c r="C33" i="1"/>
  <c r="D34" i="1"/>
  <c r="C38" i="1"/>
  <c r="E36" i="1"/>
  <c r="C31" i="1"/>
  <c r="D31" i="1"/>
  <c r="E31" i="1"/>
  <c r="C30" i="1"/>
  <c r="D29" i="1"/>
  <c r="E29" i="1"/>
  <c r="D28" i="1"/>
  <c r="C29" i="1"/>
  <c r="E30" i="1"/>
  <c r="D30" i="1"/>
  <c r="E28" i="1"/>
  <c r="C28" i="1"/>
  <c r="D9" i="1"/>
  <c r="D25" i="1"/>
  <c r="D23" i="1"/>
  <c r="E25" i="1"/>
  <c r="C25" i="1"/>
  <c r="F93" i="1"/>
  <c r="F89" i="1"/>
  <c r="F100" i="1"/>
  <c r="E24" i="1"/>
  <c r="D24" i="1"/>
  <c r="C24" i="1"/>
  <c r="F86" i="1"/>
  <c r="E23" i="1"/>
  <c r="D22" i="1"/>
  <c r="C23" i="1"/>
  <c r="D19" i="1"/>
  <c r="F85" i="1"/>
  <c r="F81" i="1"/>
  <c r="F84" i="1"/>
  <c r="F83" i="1"/>
  <c r="F82" i="1"/>
  <c r="F79" i="1"/>
  <c r="E10" i="1"/>
  <c r="E19" i="1"/>
  <c r="D18" i="1"/>
  <c r="E32" i="1"/>
  <c r="E26" i="1"/>
  <c r="D32" i="1"/>
  <c r="D26" i="1"/>
  <c r="E22" i="1"/>
  <c r="C26" i="1"/>
  <c r="C32" i="1"/>
  <c r="C20" i="1"/>
  <c r="C21" i="1"/>
  <c r="C22" i="1"/>
  <c r="E20" i="1"/>
  <c r="E21" i="1"/>
  <c r="D20" i="1"/>
  <c r="D21" i="1"/>
  <c r="C19" i="1"/>
  <c r="E18" i="1"/>
  <c r="C6" i="1"/>
  <c r="C8" i="1"/>
  <c r="C18" i="1"/>
  <c r="E41" i="1"/>
  <c r="C40" i="1"/>
  <c r="D12" i="1"/>
  <c r="D10" i="1"/>
  <c r="D6" i="1"/>
  <c r="D40" i="1"/>
  <c r="E12" i="1"/>
  <c r="D39" i="1"/>
  <c r="C41" i="1"/>
  <c r="G48" i="1"/>
  <c r="G155" i="1" s="1"/>
  <c r="F56" i="1"/>
  <c r="F55" i="1"/>
  <c r="F51" i="1"/>
  <c r="F54" i="1"/>
  <c r="F125" i="1" s="1"/>
  <c r="F53" i="1"/>
  <c r="F52" i="1"/>
  <c r="F50" i="1"/>
  <c r="G61" i="1"/>
  <c r="F62" i="1"/>
  <c r="D8" i="1"/>
  <c r="E8" i="1"/>
  <c r="E7" i="1"/>
  <c r="E40" i="1"/>
  <c r="E11" i="1"/>
  <c r="D11" i="1"/>
  <c r="D7" i="1"/>
  <c r="E39" i="1"/>
  <c r="C7" i="1"/>
  <c r="C10" i="1"/>
  <c r="E6" i="1"/>
  <c r="C12" i="1"/>
  <c r="C11" i="1"/>
  <c r="C9" i="1"/>
  <c r="F42" i="1" l="1"/>
  <c r="F123" i="1" s="1"/>
  <c r="F43" i="1"/>
  <c r="G43" i="1" s="1"/>
  <c r="G123" i="1"/>
  <c r="G154" i="1"/>
  <c r="G152" i="1"/>
  <c r="G96" i="1"/>
  <c r="G100" i="1"/>
  <c r="G101" i="1"/>
  <c r="G99" i="1"/>
  <c r="G107" i="1"/>
  <c r="G98" i="1"/>
  <c r="G103" i="1"/>
  <c r="G97" i="1"/>
  <c r="F104" i="1"/>
  <c r="F108" i="1" s="1"/>
  <c r="F24" i="1"/>
  <c r="F88" i="1" s="1"/>
  <c r="G86" i="1"/>
  <c r="G89" i="1"/>
  <c r="G93" i="1"/>
  <c r="G88" i="1"/>
  <c r="F87" i="1"/>
  <c r="G82" i="1"/>
  <c r="G84" i="1"/>
  <c r="G83" i="1"/>
  <c r="G85" i="1"/>
  <c r="G79" i="1"/>
  <c r="G81" i="1"/>
  <c r="H61" i="1"/>
  <c r="G62" i="1"/>
  <c r="H48" i="1"/>
  <c r="H155" i="1" s="1"/>
  <c r="G53" i="1"/>
  <c r="G55" i="1"/>
  <c r="G54" i="1"/>
  <c r="G125" i="1" s="1"/>
  <c r="G50" i="1"/>
  <c r="G52" i="1"/>
  <c r="G56" i="1"/>
  <c r="G51" i="1"/>
  <c r="F57" i="1"/>
  <c r="F58" i="1" s="1"/>
  <c r="F63" i="1" s="1"/>
  <c r="G150" i="1" l="1"/>
  <c r="G157" i="1" s="1"/>
  <c r="H123" i="1"/>
  <c r="H152" i="1"/>
  <c r="H154" i="1"/>
  <c r="F150" i="1"/>
  <c r="F157" i="1" s="1"/>
  <c r="H43" i="1"/>
  <c r="H150" i="1" s="1"/>
  <c r="H157" i="1" s="1"/>
  <c r="H107" i="1"/>
  <c r="H103" i="1"/>
  <c r="H99" i="1"/>
  <c r="H96" i="1"/>
  <c r="H98" i="1"/>
  <c r="H100" i="1"/>
  <c r="H97" i="1"/>
  <c r="H101" i="1"/>
  <c r="G104" i="1"/>
  <c r="G108" i="1" s="1"/>
  <c r="H86" i="1"/>
  <c r="H93" i="1"/>
  <c r="H89" i="1"/>
  <c r="H88" i="1"/>
  <c r="G87" i="1"/>
  <c r="H84" i="1"/>
  <c r="H85" i="1"/>
  <c r="H82" i="1"/>
  <c r="H83" i="1"/>
  <c r="H79" i="1"/>
  <c r="H81" i="1"/>
  <c r="G57" i="1"/>
  <c r="G58" i="1" s="1"/>
  <c r="G63" i="1" s="1"/>
  <c r="G64" i="1" s="1"/>
  <c r="G163" i="1" s="1"/>
  <c r="F64" i="1"/>
  <c r="I48" i="1"/>
  <c r="I155" i="1" s="1"/>
  <c r="H53" i="1"/>
  <c r="H55" i="1"/>
  <c r="H52" i="1"/>
  <c r="H56" i="1"/>
  <c r="H50" i="1"/>
  <c r="H54" i="1"/>
  <c r="H125" i="1" s="1"/>
  <c r="H51" i="1"/>
  <c r="I61" i="1"/>
  <c r="H62" i="1"/>
  <c r="F65" i="1" l="1"/>
  <c r="F121" i="1" s="1"/>
  <c r="F124" i="1" s="1"/>
  <c r="F139" i="1" s="1"/>
  <c r="F163" i="1"/>
  <c r="I123" i="1"/>
  <c r="I152" i="1"/>
  <c r="I154" i="1"/>
  <c r="I43" i="1"/>
  <c r="I150" i="1" s="1"/>
  <c r="I96" i="1"/>
  <c r="I98" i="1"/>
  <c r="I100" i="1"/>
  <c r="I97" i="1"/>
  <c r="I99" i="1"/>
  <c r="I101" i="1"/>
  <c r="I107" i="1"/>
  <c r="I103" i="1"/>
  <c r="H104" i="1"/>
  <c r="H108" i="1" s="1"/>
  <c r="I86" i="1"/>
  <c r="I88" i="1"/>
  <c r="I89" i="1"/>
  <c r="I93" i="1"/>
  <c r="H87" i="1"/>
  <c r="I82" i="1"/>
  <c r="I84" i="1"/>
  <c r="I83" i="1"/>
  <c r="I85" i="1"/>
  <c r="I79" i="1"/>
  <c r="I81" i="1"/>
  <c r="G65" i="1"/>
  <c r="G121" i="1" s="1"/>
  <c r="H57" i="1"/>
  <c r="H58" i="1" s="1"/>
  <c r="H63" i="1" s="1"/>
  <c r="J61" i="1"/>
  <c r="J62" i="1" s="1"/>
  <c r="I62" i="1"/>
  <c r="J48" i="1"/>
  <c r="J155" i="1" s="1"/>
  <c r="I53" i="1"/>
  <c r="I55" i="1"/>
  <c r="I51" i="1"/>
  <c r="I50" i="1"/>
  <c r="I52" i="1"/>
  <c r="I54" i="1"/>
  <c r="I125" i="1" s="1"/>
  <c r="I56" i="1"/>
  <c r="I157" i="1" l="1"/>
  <c r="F141" i="1"/>
  <c r="F148" i="1" s="1"/>
  <c r="F159" i="1" s="1"/>
  <c r="F161" i="1" s="1"/>
  <c r="G160" i="1" s="1"/>
  <c r="J123" i="1"/>
  <c r="J152" i="1"/>
  <c r="J154" i="1"/>
  <c r="J43" i="1"/>
  <c r="J150" i="1" s="1"/>
  <c r="G141" i="1"/>
  <c r="G148" i="1" s="1"/>
  <c r="G124" i="1"/>
  <c r="G139" i="1" s="1"/>
  <c r="J97" i="1"/>
  <c r="J99" i="1"/>
  <c r="J101" i="1"/>
  <c r="J100" i="1"/>
  <c r="J107" i="1"/>
  <c r="J103" i="1"/>
  <c r="J96" i="1"/>
  <c r="J98" i="1"/>
  <c r="I104" i="1"/>
  <c r="I108" i="1" s="1"/>
  <c r="J86" i="1"/>
  <c r="J93" i="1"/>
  <c r="J89" i="1"/>
  <c r="J88" i="1"/>
  <c r="I87" i="1"/>
  <c r="J82" i="1"/>
  <c r="J84" i="1"/>
  <c r="J83" i="1"/>
  <c r="J85" i="1"/>
  <c r="J79" i="1"/>
  <c r="J81" i="1"/>
  <c r="J51" i="1"/>
  <c r="J50" i="1"/>
  <c r="J53" i="1"/>
  <c r="J55" i="1"/>
  <c r="J52" i="1"/>
  <c r="J56" i="1"/>
  <c r="J54" i="1"/>
  <c r="J125" i="1" s="1"/>
  <c r="I57" i="1"/>
  <c r="I58" i="1" s="1"/>
  <c r="I63" i="1" s="1"/>
  <c r="H64" i="1"/>
  <c r="F90" i="1" l="1"/>
  <c r="G90" i="1" s="1"/>
  <c r="G94" i="1" s="1"/>
  <c r="H65" i="1"/>
  <c r="H121" i="1" s="1"/>
  <c r="H141" i="1" s="1"/>
  <c r="H163" i="1"/>
  <c r="G159" i="1"/>
  <c r="G161" i="1" s="1"/>
  <c r="H160" i="1" s="1"/>
  <c r="J157" i="1"/>
  <c r="J104" i="1"/>
  <c r="J108" i="1" s="1"/>
  <c r="J87" i="1"/>
  <c r="J57" i="1"/>
  <c r="J58" i="1" s="1"/>
  <c r="J63" i="1" s="1"/>
  <c r="I64" i="1"/>
  <c r="F94" i="1" l="1"/>
  <c r="H124" i="1"/>
  <c r="H139" i="1" s="1"/>
  <c r="I65" i="1"/>
  <c r="I121" i="1" s="1"/>
  <c r="I141" i="1" s="1"/>
  <c r="I163" i="1"/>
  <c r="H90" i="1"/>
  <c r="H94" i="1" s="1"/>
  <c r="H148" i="1"/>
  <c r="J64" i="1"/>
  <c r="H159" i="1" l="1"/>
  <c r="H161" i="1" s="1"/>
  <c r="I160" i="1" s="1"/>
  <c r="I124" i="1"/>
  <c r="I139" i="1" s="1"/>
  <c r="J65" i="1"/>
  <c r="J121" i="1" s="1"/>
  <c r="J141" i="1" s="1"/>
  <c r="J163" i="1"/>
  <c r="I90" i="1"/>
  <c r="I94" i="1" s="1"/>
  <c r="I148" i="1"/>
  <c r="I159" i="1" s="1"/>
  <c r="I161" i="1" l="1"/>
  <c r="J160" i="1" s="1"/>
  <c r="J124" i="1"/>
  <c r="J139" i="1" s="1"/>
  <c r="J90" i="1"/>
  <c r="J94" i="1" s="1"/>
  <c r="J148" i="1"/>
  <c r="J159" i="1" l="1"/>
  <c r="J161" i="1" s="1"/>
</calcChain>
</file>

<file path=xl/sharedStrings.xml><?xml version="1.0" encoding="utf-8"?>
<sst xmlns="http://schemas.openxmlformats.org/spreadsheetml/2006/main" count="219" uniqueCount="162">
  <si>
    <t>Income Statement: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</si>
  <si>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</si>
  <si>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</si>
  <si>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</si>
  <si>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</si>
  <si>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</si>
  <si>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</si>
  <si>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</si>
  <si>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</si>
  <si>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Cash Flow Statement:</t>
  </si>
  <si>
    <t>Historical Numbers</t>
  </si>
  <si>
    <t>Projected Numbers</t>
  </si>
  <si>
    <t>Balance Sheet:</t>
  </si>
  <si>
    <t>($ in millions)</t>
  </si>
  <si>
    <t>Operating Expenses:</t>
  </si>
  <si>
    <t>Personnel</t>
  </si>
  <si>
    <t>Marketing</t>
  </si>
  <si>
    <t>Network and processing</t>
  </si>
  <si>
    <t>Professional fees</t>
  </si>
  <si>
    <t>Depreciation and amortization</t>
  </si>
  <si>
    <t>General and administrative</t>
  </si>
  <si>
    <t>Litigation provision</t>
  </si>
  <si>
    <t>Interest expense</t>
  </si>
  <si>
    <t>Investment income (expense) and other</t>
  </si>
  <si>
    <t>Total non-operating income (expense)</t>
  </si>
  <si>
    <t>Income before income taxes</t>
  </si>
  <si>
    <t>Income tax provision</t>
  </si>
  <si>
    <t>Net Income</t>
  </si>
  <si>
    <t>Assets:</t>
  </si>
  <si>
    <t>Cash and equivalents</t>
  </si>
  <si>
    <t>Accounts receivable</t>
  </si>
  <si>
    <t>Investment securities</t>
  </si>
  <si>
    <t>Settlement receivable</t>
  </si>
  <si>
    <t>Customer collateral</t>
  </si>
  <si>
    <t>Current portion of client incentives</t>
  </si>
  <si>
    <t>Prepaid expenses and other current assets</t>
  </si>
  <si>
    <t>Total current assets</t>
  </si>
  <si>
    <t>Client incentives</t>
  </si>
  <si>
    <t>Property, equipment and technology, net</t>
  </si>
  <si>
    <t>Goodwill</t>
  </si>
  <si>
    <t>Intangible assets, net</t>
  </si>
  <si>
    <t>Other assets</t>
  </si>
  <si>
    <t>Total assets</t>
  </si>
  <si>
    <t>Accounts payable</t>
  </si>
  <si>
    <t>Settlement payable</t>
  </si>
  <si>
    <t>Accrued compensation and benefits</t>
  </si>
  <si>
    <t>Accrued liabilities</t>
  </si>
  <si>
    <t>Current maturities of debt</t>
  </si>
  <si>
    <t>Accrued litigation</t>
  </si>
  <si>
    <t>Total current liabilities</t>
  </si>
  <si>
    <t>Long-term debt</t>
  </si>
  <si>
    <t>Deferred tax liabilities</t>
  </si>
  <si>
    <t>Other liabilities</t>
  </si>
  <si>
    <t>Restricted cash (litigation escrow)</t>
  </si>
  <si>
    <t>Liabilities:</t>
  </si>
  <si>
    <t>Total Liabilities</t>
  </si>
  <si>
    <t>Net income</t>
  </si>
  <si>
    <t>Share-based compensation</t>
  </si>
  <si>
    <t>Deferred income taxes</t>
  </si>
  <si>
    <t>VE territory covered losses</t>
  </si>
  <si>
    <t>(Gains) losses on equity investments, net</t>
  </si>
  <si>
    <t>Other</t>
  </si>
  <si>
    <t>Change in operating assets and liabilities:</t>
  </si>
  <si>
    <t>Accrued and other liabilities</t>
  </si>
  <si>
    <t>Purchases of property, equipment and technology</t>
  </si>
  <si>
    <t>Purchases of investment securities</t>
  </si>
  <si>
    <t>Proceeds from maturities and sales of investment securities</t>
  </si>
  <si>
    <t>Acquisitions, net of cash and restricted cash acquired</t>
  </si>
  <si>
    <t>Purchases of other investments</t>
  </si>
  <si>
    <t>Proceeds from settlement of derivative instruments</t>
  </si>
  <si>
    <t>Other investing activities</t>
  </si>
  <si>
    <t>Repurchases of class A common stock</t>
  </si>
  <si>
    <t>Repayments of debt</t>
  </si>
  <si>
    <t>Dividends paid</t>
  </si>
  <si>
    <t>Proceeds from issuance of senior notes</t>
  </si>
  <si>
    <t>Proceeds from stock issued under equity plans</t>
  </si>
  <si>
    <t>Taxes paid related to stock issued under equity plans</t>
  </si>
  <si>
    <t>Other financing activities</t>
  </si>
  <si>
    <t>Net cash provided by (used in) financing activities</t>
  </si>
  <si>
    <t>Cash paid for income taxes, net(1)</t>
  </si>
  <si>
    <t>Interest payments on debt</t>
  </si>
  <si>
    <t>Accruals related to purchases of property, equipment and technology</t>
  </si>
  <si>
    <t>Operating Activities:</t>
  </si>
  <si>
    <t>Adjustments to reconcile net income to net cash provided by (used in) operating activities:</t>
  </si>
  <si>
    <t>Investing Activities:</t>
  </si>
  <si>
    <t>Net cash provided by (used in) investing activities:</t>
  </si>
  <si>
    <t>Net cash provided by (used in) operating activities:</t>
  </si>
  <si>
    <t>Financing Activities:</t>
  </si>
  <si>
    <t>Cash, cash equivalents, restricted cash and restricted cash equivalents as of end of period</t>
  </si>
  <si>
    <t>Cash, cash equivalents, restricted cash and restricted cash equivalents as of beginning of period</t>
  </si>
  <si>
    <t>Supplemental Disclosure:</t>
  </si>
  <si>
    <t>Effect of exchange rate changes on cash, cash equivalents, restricted cash and restricted cash equivalents</t>
  </si>
  <si>
    <t>Increase (decrease) in cash, cash equivalents, restricted cash and restricted cash equivalents</t>
  </si>
  <si>
    <t>Key Performance Metrics &amp; Drivers</t>
  </si>
  <si>
    <t>Litigation Provision ($mm)</t>
  </si>
  <si>
    <t>Effective Tax Rate %</t>
  </si>
  <si>
    <t>Net Revenue Growth %</t>
  </si>
  <si>
    <t>Personnel % of Net Revenue</t>
  </si>
  <si>
    <t>Marketing % of Net Revenue</t>
  </si>
  <si>
    <t>Network &amp; Processing % of Net Revenue</t>
  </si>
  <si>
    <t>Professional Fees % of Net Revenue</t>
  </si>
  <si>
    <t>D&amp;A % of Net Revenue</t>
  </si>
  <si>
    <t>G&amp;A % of Net Revenue</t>
  </si>
  <si>
    <t>Net Revenue</t>
  </si>
  <si>
    <t>Non-Operating / Tax:</t>
  </si>
  <si>
    <t>Operating Expense Drivers:</t>
  </si>
  <si>
    <t>Interest Expense ($mm)</t>
  </si>
  <si>
    <t>SBC % of Net Revenue</t>
  </si>
  <si>
    <t>Dividend Payout %</t>
  </si>
  <si>
    <t>CapEx % of Net Revenue</t>
  </si>
  <si>
    <t>Investment Income / Other ($mm)</t>
  </si>
  <si>
    <t>Working Capital % of Net Revenue</t>
  </si>
  <si>
    <t>Share Repurchases ($mm)</t>
  </si>
  <si>
    <t>Other revenue</t>
  </si>
  <si>
    <t>International transaction revenue</t>
  </si>
  <si>
    <t>Data processing revenue</t>
  </si>
  <si>
    <t>Service revenue</t>
  </si>
  <si>
    <t>Line Items</t>
  </si>
  <si>
    <t>($ millions)</t>
  </si>
  <si>
    <t>Revenue Drivers:</t>
  </si>
  <si>
    <t>Settlement Receivable % of Net Revenue</t>
  </si>
  <si>
    <t>Accounts receivable % of Net Revenue</t>
  </si>
  <si>
    <t>Customer collateral % of Net Revenue</t>
  </si>
  <si>
    <t>Client incentives % of Net Revenue</t>
  </si>
  <si>
    <t>Cash &amp; equivalents % of Net Revenue</t>
  </si>
  <si>
    <t>Prepaid expenses % of Net Revenue</t>
  </si>
  <si>
    <t>(Current) Investment securities % of Net Revenue</t>
  </si>
  <si>
    <t>(Total) Investment securities % of Net Revenue</t>
  </si>
  <si>
    <t>Cash Flow Drivers:</t>
  </si>
  <si>
    <t>Accounts payable % of Net Revenue</t>
  </si>
  <si>
    <t>Settlement payable % of Net Revenue</t>
  </si>
  <si>
    <t>Accrued compensation &amp; benefits % of Net Revenue</t>
  </si>
  <si>
    <t>Accrued liabilities % of Net Revenue</t>
  </si>
  <si>
    <t>Current maturities of debt % of Net Revenue</t>
  </si>
  <si>
    <t>Accrued litigation % of Net Revenue</t>
  </si>
  <si>
    <t>Client Incentives CFO Adjustment % of Net Revenue</t>
  </si>
  <si>
    <t>Taxes paid to stock % of Net Revenue</t>
  </si>
  <si>
    <t>Proceeds from Stock % of Net Revenue</t>
  </si>
  <si>
    <t>Supporting Schedules:</t>
  </si>
  <si>
    <t>Debt Schedule:</t>
  </si>
  <si>
    <t>Non-operating Income (Expense):</t>
  </si>
  <si>
    <t>Revenue Schedule:</t>
  </si>
  <si>
    <t>Working Capital Schedule:</t>
  </si>
  <si>
    <t>PP&amp;E / D&amp;A / CapEx Schedule:</t>
  </si>
  <si>
    <t>Equity / Shareholder Return Schedule:</t>
  </si>
  <si>
    <t>Diluted Earnings Per Share:</t>
  </si>
  <si>
    <t>Class A common stock</t>
  </si>
  <si>
    <t>Class B-1 common stock</t>
  </si>
  <si>
    <t>Class B-2 common stock</t>
  </si>
  <si>
    <t>Class C common stock</t>
  </si>
  <si>
    <t>Diluted Weighted-average Shares Outstanding:</t>
  </si>
  <si>
    <t>Total Operating Expenses</t>
  </si>
  <si>
    <t>Operating Income</t>
  </si>
  <si>
    <t>Equity:</t>
  </si>
  <si>
    <t>Preferred stock, $0.0001 par value, 5 shares issued and outstanding as of September 30, 2025 and 2024</t>
  </si>
  <si>
    <t>Right to recover for covered losses</t>
  </si>
  <si>
    <t>Additional paid-in capital</t>
  </si>
  <si>
    <t>Accumulated income</t>
  </si>
  <si>
    <t>Total accumulated other comprehensive income (loss)</t>
  </si>
  <si>
    <t>Total equity</t>
  </si>
  <si>
    <t>Total liabilities and equity</t>
  </si>
  <si>
    <t>Common stock, $0.0001 par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</si>
</sst>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—&quot;_);_(@_)"/>
    <numFmt numFmtId="165" formatCode="_(* 0.0%_);_(* \(0.0%\);_(* &quot;—&quot;_);_(@_)"/>
    <numFmt numFmtId="166" formatCode="_(&quot;$&quot;* #,##0_);_(&quot;$&quot;* \(#,##0\);_(* &quot;—&quot;_);_(@_)"/>
    <numFmt numFmtId="167" formatCode="_(&quot;$&quot;* #,##0.00_);_(&quot;$&quot;* \(#,##0.00\);_(&quot;$&quot;* &quot;—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indent="1"/>
    </xf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indent="1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vertical="top"/>
    </xf>
    <xf numFmtId="0" fontId="0" fillId="2" borderId="0" xfId="0" applyFill="1"/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indent="1"/>
    </xf>
    <xf numFmtId="10" fontId="0" fillId="0" borderId="0" xfId="0" applyNumberFormat="1"/>
    <xf numFmtId="9" fontId="0" fillId="0" borderId="0" xfId="0" applyNumberFormat="1"/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 indent="1"/>
    </xf>
    <xf numFmtId="0" fontId="0" fillId="0" borderId="3" xfId="0" applyBorder="1" applyAlignment="1">
      <alignment horizontal="left" indent="1"/>
    </xf>
    <xf numFmtId="3" fontId="0" fillId="0" borderId="0" xfId="0" applyNumberFormat="1"/>
    <xf numFmtId="0" fontId="5" fillId="0" borderId="5" xfId="0" applyFont="1" applyBorder="1" applyAlignment="1">
      <alignment horizontal="left" vertical="top"/>
    </xf>
    <xf numFmtId="0" fontId="0" fillId="0" borderId="0" xfId="0" applyAlignment="1">
      <alignment horizontal="left" vertical="top" indent="1"/>
    </xf>
    <xf numFmtId="164" fontId="0" fillId="0" borderId="0" xfId="0" applyNumberFormat="1" applyAlignment="1">
      <alignment horizontal="right"/>
    </xf>
    <xf numFmtId="164" fontId="0" fillId="0" borderId="3" xfId="0" applyNumberFormat="1" applyBorder="1"/>
    <xf numFmtId="164" fontId="0" fillId="0" borderId="3" xfId="0" applyNumberFormat="1" applyBorder="1" applyAlignment="1">
      <alignment horizontal="right"/>
    </xf>
    <xf numFmtId="165" fontId="0" fillId="0" borderId="3" xfId="0" applyNumberFormat="1" applyBorder="1"/>
    <xf numFmtId="165" fontId="0" fillId="0" borderId="0" xfId="0" applyNumberFormat="1"/>
    <xf numFmtId="165" fontId="0" fillId="0" borderId="5" xfId="0" applyNumberFormat="1" applyBorder="1"/>
    <xf numFmtId="166" fontId="0" fillId="0" borderId="4" xfId="0" applyNumberFormat="1" applyBorder="1"/>
    <xf numFmtId="166" fontId="0" fillId="0" borderId="0" xfId="0" applyNumberFormat="1"/>
    <xf numFmtId="166" fontId="0" fillId="0" borderId="3" xfId="0" applyNumberFormat="1" applyBorder="1"/>
    <xf numFmtId="0" fontId="1" fillId="0" borderId="3" xfId="0" applyFont="1" applyBorder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horizontal="left" indent="1"/>
    </xf>
    <xf numFmtId="0" fontId="0" fillId="0" borderId="4" xfId="0" applyBorder="1" applyAlignment="1">
      <alignment horizontal="left" indent="1"/>
    </xf>
    <xf numFmtId="167" fontId="0" fillId="0" borderId="0" xfId="0" applyNumberFormat="1"/>
    <xf numFmtId="167" fontId="0" fillId="0" borderId="3" xfId="0" applyNumberFormat="1" applyBorder="1"/>
    <xf numFmtId="164" fontId="0" fillId="0" borderId="4" xfId="0" applyNumberFormat="1" applyBorder="1" applyAlignment="1">
      <alignment horizontal="right"/>
    </xf>
    <xf numFmtId="0" fontId="1" fillId="0" borderId="4" xfId="0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1CDC-E640-4DD2-B051-E368A3962B8F}">
  <dimension ref="B1:J172"/>
  <sheetViews>
    <sheetView showGridLines="0" tabSelected="1" workbookViewId="0">
      <selection activeCell="C1" sqref="C1"/>
    </sheetView>
  </sheetViews>
  <sheetFormatPr defaultRowHeight="15" x14ac:dyDescent="0.25"/>
  <cols>
    <col min="1" max="1" width="2.7109375" customWidth="1"/>
    <col min="2" max="2" width="93.28515625" bestFit="1" customWidth="1"/>
    <col min="3" max="3" width="11.140625" bestFit="1" customWidth="1"/>
    <col min="5" max="5" width="9.5703125" bestFit="1" customWidth="1"/>
    <col min="6" max="10" width="10" bestFit="1" customWidth="1"/>
  </cols>
  <sheetData>
    <row r="1" spans="2:10" x14ac:dyDescent="0.25">
      <c r="B1" s="12" t="s">
        <v>13</v>
      </c>
      <c r="C1" s="13" t="s">
        <v>10</v>
      </c>
      <c r="D1" s="14"/>
      <c r="E1" s="14"/>
      <c r="F1" s="15" t="s">
        <v>11</v>
      </c>
      <c r="G1" s="16"/>
      <c r="H1" s="16"/>
      <c r="I1" s="16"/>
      <c r="J1" s="16"/>
    </row>
    <row r="2" spans="2:10" x14ac:dyDescent="0.25">
      <c r="B2" s="1" t="s">
        <v>93</v>
      </c>
      <c r="C2" s="3" t="s">
        <v>1</v>
      </c>
      <c r="D2" s="3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x14ac:dyDescent="0.25">
      <c r="B3" s="23" t="s">
        <v>119</v>
      </c>
      <c r="C3" s="21"/>
      <c r="D3" s="22"/>
      <c r="E3" s="22"/>
      <c r="F3" s="22"/>
      <c r="G3" s="22"/>
      <c r="H3" s="22"/>
      <c r="I3" s="22"/>
      <c r="J3" s="22"/>
    </row>
    <row r="4" spans="2:10" x14ac:dyDescent="0.25">
      <c r="B4" s="25" t="s">
        <v>96</v>
      </c>
      <c r="C4" s="33">
        <f>32653/29310-1</f>
        <v>0.11405663596042315</v>
      </c>
      <c r="D4" s="33">
        <f>35926/32653-1</f>
        <v>0.10023581294214923</v>
      </c>
      <c r="E4" s="33">
        <f>40000/35926-1</f>
        <v>0.11339976618604908</v>
      </c>
      <c r="F4" s="33">
        <v>0.08</v>
      </c>
      <c r="G4" s="33">
        <f t="shared" ref="G4:J4" si="0">AVERAGE(D4:F4)</f>
        <v>9.7878526376066102E-2</v>
      </c>
      <c r="H4" s="33">
        <v>9.8000000000000004E-2</v>
      </c>
      <c r="I4" s="33">
        <v>9.8000000000000004E-2</v>
      </c>
      <c r="J4" s="33">
        <f t="shared" si="0"/>
        <v>9.7959508792022046E-2</v>
      </c>
    </row>
    <row r="5" spans="2:10" x14ac:dyDescent="0.25">
      <c r="B5" s="24" t="s">
        <v>105</v>
      </c>
      <c r="C5" s="34"/>
      <c r="D5" s="34"/>
      <c r="E5" s="34"/>
      <c r="F5" s="34"/>
      <c r="G5" s="34"/>
      <c r="H5" s="34"/>
      <c r="I5" s="34"/>
      <c r="J5" s="34"/>
    </row>
    <row r="6" spans="2:10" x14ac:dyDescent="0.25">
      <c r="B6" s="9" t="s">
        <v>97</v>
      </c>
      <c r="C6" s="34">
        <f>C50/C48</f>
        <v>0.17857470982758092</v>
      </c>
      <c r="D6" s="34">
        <f t="shared" ref="D6:E6" si="1">D50/D48</f>
        <v>0.17435840338473529</v>
      </c>
      <c r="E6" s="34">
        <f t="shared" si="1"/>
        <v>0.17402500000000001</v>
      </c>
      <c r="F6" s="34">
        <v>0.17399999999999999</v>
      </c>
      <c r="G6" s="34">
        <v>0.17299999999999999</v>
      </c>
      <c r="H6" s="34">
        <v>0.17199999999999999</v>
      </c>
      <c r="I6" s="34">
        <v>0.17100000000000001</v>
      </c>
      <c r="J6" s="34">
        <v>0.17</v>
      </c>
    </row>
    <row r="7" spans="2:10" x14ac:dyDescent="0.25">
      <c r="B7" s="5" t="s">
        <v>98</v>
      </c>
      <c r="C7" s="34">
        <f>C51/C48</f>
        <v>4.1068202002878758E-2</v>
      </c>
      <c r="D7" s="34">
        <f t="shared" ref="D7:E7" si="2">D51/D48</f>
        <v>4.3422590881255912E-2</v>
      </c>
      <c r="E7" s="34">
        <f t="shared" si="2"/>
        <v>4.2099999999999999E-2</v>
      </c>
      <c r="F7" s="34">
        <v>4.2000000000000003E-2</v>
      </c>
      <c r="G7" s="34">
        <v>4.2000000000000003E-2</v>
      </c>
      <c r="H7" s="34">
        <v>4.2000000000000003E-2</v>
      </c>
      <c r="I7" s="34">
        <v>4.1000000000000002E-2</v>
      </c>
      <c r="J7" s="34">
        <v>4.1000000000000002E-2</v>
      </c>
    </row>
    <row r="8" spans="2:10" x14ac:dyDescent="0.25">
      <c r="B8" s="5" t="s">
        <v>99</v>
      </c>
      <c r="C8" s="34">
        <f>C52/C48</f>
        <v>2.2540042262579243E-2</v>
      </c>
      <c r="D8" s="34">
        <f t="shared" ref="D8:E8" si="3">D52/D48</f>
        <v>2.1655625452318656E-2</v>
      </c>
      <c r="E8" s="34">
        <f t="shared" si="3"/>
        <v>2.2349999999999998E-2</v>
      </c>
      <c r="F8" s="34">
        <v>2.1999999999999999E-2</v>
      </c>
      <c r="G8" s="34">
        <v>2.1999999999999999E-2</v>
      </c>
      <c r="H8" s="34">
        <v>2.1999999999999999E-2</v>
      </c>
      <c r="I8" s="34">
        <v>2.1999999999999999E-2</v>
      </c>
      <c r="J8" s="34">
        <v>2.1999999999999999E-2</v>
      </c>
    </row>
    <row r="9" spans="2:10" x14ac:dyDescent="0.25">
      <c r="B9" s="5" t="s">
        <v>100</v>
      </c>
      <c r="C9" s="34">
        <f>C53/C48</f>
        <v>1.6690656294980552E-2</v>
      </c>
      <c r="D9" s="34">
        <f t="shared" ref="D9:E9" si="4">D53/D48</f>
        <v>1.7675221288203528E-2</v>
      </c>
      <c r="E9" s="34">
        <f t="shared" si="4"/>
        <v>1.8974999999999999E-2</v>
      </c>
      <c r="F9" s="34">
        <v>1.9E-2</v>
      </c>
      <c r="G9" s="34">
        <v>1.9E-2</v>
      </c>
      <c r="H9" s="34">
        <v>1.9E-2</v>
      </c>
      <c r="I9" s="34">
        <v>1.7999999999999999E-2</v>
      </c>
      <c r="J9" s="34">
        <v>1.7999999999999999E-2</v>
      </c>
    </row>
    <row r="10" spans="2:10" x14ac:dyDescent="0.25">
      <c r="B10" s="5" t="s">
        <v>101</v>
      </c>
      <c r="C10" s="34">
        <f>C54/C48</f>
        <v>2.8879429148929655E-2</v>
      </c>
      <c r="D10" s="34">
        <f t="shared" ref="D10:E10" si="5">D54/D48</f>
        <v>2.878138395590937E-2</v>
      </c>
      <c r="E10" s="34">
        <f t="shared" si="5"/>
        <v>3.0499999999999999E-2</v>
      </c>
      <c r="F10" s="34">
        <v>0.03</v>
      </c>
      <c r="G10" s="34">
        <v>0.03</v>
      </c>
      <c r="H10" s="34">
        <v>0.03</v>
      </c>
      <c r="I10" s="34">
        <v>2.9000000000000001E-2</v>
      </c>
      <c r="J10" s="34">
        <v>2.9000000000000001E-2</v>
      </c>
    </row>
    <row r="11" spans="2:10" x14ac:dyDescent="0.25">
      <c r="B11" s="5" t="s">
        <v>102</v>
      </c>
      <c r="C11" s="34">
        <f>C55/C48</f>
        <v>4.0731326371236949E-2</v>
      </c>
      <c r="D11" s="34">
        <f t="shared" ref="D11:E11" si="6">D55/D48</f>
        <v>4.4480320659132662E-2</v>
      </c>
      <c r="E11" s="34">
        <f t="shared" si="6"/>
        <v>4.8149999999999998E-2</v>
      </c>
      <c r="F11" s="34">
        <v>4.7E-2</v>
      </c>
      <c r="G11" s="34">
        <v>4.5999999999999999E-2</v>
      </c>
      <c r="H11" s="34">
        <v>4.5999999999999999E-2</v>
      </c>
      <c r="I11" s="34">
        <v>4.4999999999999998E-2</v>
      </c>
      <c r="J11" s="34">
        <v>4.4999999999999998E-2</v>
      </c>
    </row>
    <row r="12" spans="2:10" x14ac:dyDescent="0.25">
      <c r="B12" s="26" t="s">
        <v>94</v>
      </c>
      <c r="C12" s="33">
        <f>C56/C48</f>
        <v>2.838942823017793E-2</v>
      </c>
      <c r="D12" s="33">
        <f t="shared" ref="D12:E12" si="7">D56/D48</f>
        <v>1.2859767299448868E-2</v>
      </c>
      <c r="E12" s="33">
        <f t="shared" si="7"/>
        <v>6.4049999999999996E-2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</row>
    <row r="13" spans="2:10" x14ac:dyDescent="0.25">
      <c r="B13" s="23" t="s">
        <v>104</v>
      </c>
      <c r="C13" s="34"/>
      <c r="D13" s="34"/>
      <c r="E13" s="34"/>
      <c r="F13" s="34"/>
      <c r="G13" s="34"/>
      <c r="H13" s="34"/>
      <c r="I13" s="34"/>
      <c r="J13" s="34"/>
    </row>
    <row r="14" spans="2:10" x14ac:dyDescent="0.25">
      <c r="B14" s="9" t="s">
        <v>106</v>
      </c>
      <c r="C14" s="34">
        <v>0.23</v>
      </c>
      <c r="D14" s="34">
        <v>0</v>
      </c>
      <c r="E14" s="34">
        <v>-0.08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</row>
    <row r="15" spans="2:10" x14ac:dyDescent="0.25">
      <c r="B15" s="9" t="s">
        <v>110</v>
      </c>
      <c r="C15" s="34">
        <v>5.92</v>
      </c>
      <c r="D15" s="34">
        <v>0.41</v>
      </c>
      <c r="E15" s="34">
        <v>-0.18</v>
      </c>
      <c r="F15" s="34">
        <v>-0.05</v>
      </c>
      <c r="G15" s="34">
        <v>-0.05</v>
      </c>
      <c r="H15" s="34">
        <v>-0.03</v>
      </c>
      <c r="I15" s="34">
        <v>0</v>
      </c>
      <c r="J15" s="34">
        <v>0</v>
      </c>
    </row>
    <row r="16" spans="2:10" x14ac:dyDescent="0.25">
      <c r="B16" s="9" t="s">
        <v>95</v>
      </c>
      <c r="C16" s="34">
        <v>0.18</v>
      </c>
      <c r="D16" s="34">
        <v>0.17</v>
      </c>
      <c r="E16" s="34">
        <v>0.17</v>
      </c>
      <c r="F16" s="34">
        <v>0.19</v>
      </c>
      <c r="G16" s="34">
        <v>0.19</v>
      </c>
      <c r="H16" s="34">
        <v>0.19</v>
      </c>
      <c r="I16" s="34">
        <v>0.19</v>
      </c>
      <c r="J16" s="34">
        <v>0.19</v>
      </c>
    </row>
    <row r="17" spans="2:10" x14ac:dyDescent="0.25">
      <c r="B17" s="28" t="s">
        <v>28</v>
      </c>
      <c r="C17" s="35"/>
      <c r="D17" s="35"/>
      <c r="E17" s="35"/>
      <c r="F17" s="35"/>
      <c r="G17" s="35"/>
      <c r="H17" s="35"/>
      <c r="I17" s="35"/>
      <c r="J17" s="35"/>
    </row>
    <row r="18" spans="2:10" x14ac:dyDescent="0.25">
      <c r="B18" s="9" t="s">
        <v>124</v>
      </c>
      <c r="C18" s="34">
        <f>C79/C48</f>
        <v>0.49875968517440972</v>
      </c>
      <c r="D18" s="34">
        <f>D79/D48</f>
        <v>0.33332405500194845</v>
      </c>
      <c r="E18" s="34">
        <f>E79/E48</f>
        <v>0.42909999999999998</v>
      </c>
      <c r="F18" s="34">
        <v>0.4</v>
      </c>
      <c r="G18" s="34">
        <v>0.38</v>
      </c>
      <c r="H18" s="34">
        <v>0.36</v>
      </c>
      <c r="I18" s="34">
        <v>0.34</v>
      </c>
      <c r="J18" s="34">
        <v>0.32</v>
      </c>
    </row>
    <row r="19" spans="2:10" x14ac:dyDescent="0.25">
      <c r="B19" s="9" t="s">
        <v>126</v>
      </c>
      <c r="C19" s="34">
        <f>C81/C48</f>
        <v>0.1176614706152574</v>
      </c>
      <c r="D19" s="34">
        <f>D81/D48</f>
        <v>8.9071981294883931E-2</v>
      </c>
      <c r="E19" s="34">
        <f>E81/E48</f>
        <v>4.5824999999999998E-2</v>
      </c>
      <c r="F19" s="34">
        <v>0.05</v>
      </c>
      <c r="G19" s="34">
        <v>0.05</v>
      </c>
      <c r="H19" s="34">
        <v>0.05</v>
      </c>
      <c r="I19" s="34">
        <v>0.05</v>
      </c>
      <c r="J19" s="34">
        <v>0.05</v>
      </c>
    </row>
    <row r="20" spans="2:10" x14ac:dyDescent="0.25">
      <c r="B20" s="9" t="s">
        <v>120</v>
      </c>
      <c r="C20" s="34">
        <f>C82/C48</f>
        <v>6.6854500352188165E-2</v>
      </c>
      <c r="D20" s="34">
        <f>D82/D48</f>
        <v>0.12397706396481657</v>
      </c>
      <c r="E20" s="34">
        <f>E82/E48</f>
        <v>0.10477499999999999</v>
      </c>
      <c r="F20" s="34">
        <v>0.105</v>
      </c>
      <c r="G20" s="34">
        <v>0.105</v>
      </c>
      <c r="H20" s="34">
        <v>0.1</v>
      </c>
      <c r="I20" s="34">
        <v>0.1</v>
      </c>
      <c r="J20" s="34">
        <v>0.1</v>
      </c>
    </row>
    <row r="21" spans="2:10" x14ac:dyDescent="0.25">
      <c r="B21" s="9" t="s">
        <v>121</v>
      </c>
      <c r="C21" s="34">
        <f>C82/C48</f>
        <v>6.6854500352188165E-2</v>
      </c>
      <c r="D21" s="34">
        <f>D82/D48</f>
        <v>0.12397706396481657</v>
      </c>
      <c r="E21" s="34">
        <f>E82/E48</f>
        <v>0.10477499999999999</v>
      </c>
      <c r="F21" s="34">
        <v>0.105</v>
      </c>
      <c r="G21" s="34">
        <v>0.105</v>
      </c>
      <c r="H21" s="34">
        <v>0.1</v>
      </c>
      <c r="I21" s="34">
        <v>0.1</v>
      </c>
      <c r="J21" s="34">
        <v>0.1</v>
      </c>
    </row>
    <row r="22" spans="2:10" x14ac:dyDescent="0.25">
      <c r="B22" s="9" t="s">
        <v>122</v>
      </c>
      <c r="C22" s="34">
        <f>C84/C48</f>
        <v>9.2028297553057914E-2</v>
      </c>
      <c r="D22" s="34">
        <f>D84/D48</f>
        <v>9.8090519400990922E-2</v>
      </c>
      <c r="E22" s="34">
        <f>E84/E48</f>
        <v>9.0624999999999997E-2</v>
      </c>
      <c r="F22" s="34">
        <v>9.1999999999999998E-2</v>
      </c>
      <c r="G22" s="34">
        <v>9.1999999999999998E-2</v>
      </c>
      <c r="H22" s="34">
        <v>9.1999999999999998E-2</v>
      </c>
      <c r="I22" s="34">
        <v>9.1999999999999998E-2</v>
      </c>
      <c r="J22" s="34">
        <v>9.1999999999999998E-2</v>
      </c>
    </row>
    <row r="23" spans="2:10" x14ac:dyDescent="0.25">
      <c r="B23" s="9" t="s">
        <v>125</v>
      </c>
      <c r="C23" s="34">
        <f>C86/C48</f>
        <v>7.9135148378403214E-2</v>
      </c>
      <c r="D23" s="34">
        <f>D86/D48</f>
        <v>9.2189500640204869E-2</v>
      </c>
      <c r="E23" s="34">
        <f>E86/E48</f>
        <v>6.6975000000000007E-2</v>
      </c>
      <c r="F23" s="34">
        <v>7.0000000000000007E-2</v>
      </c>
      <c r="G23" s="34">
        <v>7.0000000000000007E-2</v>
      </c>
      <c r="H23" s="34">
        <v>7.0000000000000007E-2</v>
      </c>
      <c r="I23" s="34">
        <v>7.0000000000000007E-2</v>
      </c>
      <c r="J23" s="34">
        <v>7.0000000000000007E-2</v>
      </c>
    </row>
    <row r="24" spans="2:10" x14ac:dyDescent="0.25">
      <c r="B24" s="9" t="s">
        <v>127</v>
      </c>
      <c r="C24" s="34">
        <f>C88/C48</f>
        <v>5.8830735307628702E-2</v>
      </c>
      <c r="D24" s="34">
        <f>D88/D48</f>
        <v>7.0840060123587373E-2</v>
      </c>
      <c r="E24" s="34">
        <f>E88/E48</f>
        <v>2.4975000000000001E-2</v>
      </c>
      <c r="F24" s="34">
        <f>AVERAGE(C24:E24)</f>
        <v>5.1548598477072022E-2</v>
      </c>
      <c r="G24" s="34">
        <v>5.3999999999999999E-2</v>
      </c>
      <c r="H24" s="34">
        <v>0.05</v>
      </c>
      <c r="I24" s="34">
        <v>0.05</v>
      </c>
      <c r="J24" s="34">
        <v>0.05</v>
      </c>
    </row>
    <row r="25" spans="2:10" x14ac:dyDescent="0.25">
      <c r="B25" s="9" t="s">
        <v>123</v>
      </c>
      <c r="C25" s="34">
        <f>C89/C48</f>
        <v>0.11603834257189233</v>
      </c>
      <c r="D25" s="34">
        <f>D89/D48</f>
        <v>0.12882035294772587</v>
      </c>
      <c r="E25" s="34">
        <f>E89/E48</f>
        <v>0.12892500000000001</v>
      </c>
      <c r="F25" s="34">
        <v>0.125</v>
      </c>
      <c r="G25" s="34">
        <v>0.125</v>
      </c>
      <c r="H25" s="34">
        <v>0.129</v>
      </c>
      <c r="I25" s="34">
        <v>0.129</v>
      </c>
      <c r="J25" s="34">
        <v>0.129</v>
      </c>
    </row>
    <row r="26" spans="2:10" x14ac:dyDescent="0.25">
      <c r="B26" s="25" t="s">
        <v>41</v>
      </c>
      <c r="C26" s="33">
        <f>C93/C48</f>
        <v>0.11426208924141733</v>
      </c>
      <c r="D26" s="33">
        <f>D93/D48</f>
        <v>0.10162556365863164</v>
      </c>
      <c r="E26" s="33">
        <f>E93/E48</f>
        <v>9.8599999999999993E-2</v>
      </c>
      <c r="F26" s="33">
        <v>0.1</v>
      </c>
      <c r="G26" s="33">
        <v>0.1</v>
      </c>
      <c r="H26" s="33">
        <v>0.1</v>
      </c>
      <c r="I26" s="33">
        <v>0.1</v>
      </c>
      <c r="J26" s="33">
        <v>0.1</v>
      </c>
    </row>
    <row r="27" spans="2:10" x14ac:dyDescent="0.25">
      <c r="B27" s="24" t="s">
        <v>54</v>
      </c>
      <c r="C27" s="34"/>
      <c r="D27" s="34"/>
      <c r="E27" s="34"/>
      <c r="F27" s="34"/>
      <c r="G27" s="34"/>
      <c r="H27" s="34"/>
      <c r="I27" s="34"/>
      <c r="J27" s="34"/>
    </row>
    <row r="28" spans="2:10" x14ac:dyDescent="0.25">
      <c r="B28" s="9" t="s">
        <v>129</v>
      </c>
      <c r="C28" s="34">
        <f>C96/C48</f>
        <v>1.1484396533243501E-2</v>
      </c>
      <c r="D28" s="34">
        <f>D96/D48</f>
        <v>1.3332962200077937E-2</v>
      </c>
      <c r="E28" s="34">
        <f>E96/E48</f>
        <v>1.3875E-2</v>
      </c>
      <c r="F28" s="34">
        <v>1.4E-2</v>
      </c>
      <c r="G28" s="34">
        <v>1.4E-2</v>
      </c>
      <c r="H28" s="34">
        <v>1.4999999999999999E-2</v>
      </c>
      <c r="I28" s="34">
        <v>1.4999999999999999E-2</v>
      </c>
      <c r="J28" s="34">
        <v>1.4999999999999999E-2</v>
      </c>
    </row>
    <row r="29" spans="2:10" x14ac:dyDescent="0.25">
      <c r="B29" s="9" t="s">
        <v>130</v>
      </c>
      <c r="C29" s="34">
        <f>C97/C48</f>
        <v>0.10011331271246134</v>
      </c>
      <c r="D29" s="34">
        <f>D97/D48</f>
        <v>0.14655124422423871</v>
      </c>
      <c r="E29" s="34">
        <f>E97/E48</f>
        <v>0.1142</v>
      </c>
      <c r="F29" s="34">
        <v>0.115</v>
      </c>
      <c r="G29" s="34">
        <v>0.115</v>
      </c>
      <c r="H29" s="34">
        <v>0.115</v>
      </c>
      <c r="I29" s="34">
        <v>0.115</v>
      </c>
      <c r="J29" s="34">
        <v>0.115</v>
      </c>
    </row>
    <row r="30" spans="2:10" x14ac:dyDescent="0.25">
      <c r="B30" s="9" t="s">
        <v>122</v>
      </c>
      <c r="C30" s="34">
        <f>C98/C48</f>
        <v>9.2028297553057914E-2</v>
      </c>
      <c r="D30" s="34">
        <f>D99/D48</f>
        <v>4.2810221009853586E-2</v>
      </c>
      <c r="E30" s="34">
        <f>E99/E48</f>
        <v>4.6574999999999998E-2</v>
      </c>
      <c r="F30" s="34">
        <v>4.7E-2</v>
      </c>
      <c r="G30" s="34">
        <v>4.7E-2</v>
      </c>
      <c r="H30" s="34">
        <v>4.7E-2</v>
      </c>
      <c r="I30" s="34">
        <v>4.7E-2</v>
      </c>
      <c r="J30" s="34">
        <v>4.7E-2</v>
      </c>
    </row>
    <row r="31" spans="2:10" x14ac:dyDescent="0.25">
      <c r="B31" s="9" t="s">
        <v>131</v>
      </c>
      <c r="C31" s="34">
        <f>C99/C48</f>
        <v>4.6121336477505895E-2</v>
      </c>
      <c r="D31" s="34">
        <f>D99/D48</f>
        <v>4.2810221009853586E-2</v>
      </c>
      <c r="E31" s="34">
        <f>E99/E48</f>
        <v>4.6574999999999998E-2</v>
      </c>
      <c r="F31" s="34">
        <v>4.7E-2</v>
      </c>
      <c r="G31" s="34">
        <v>4.7E-2</v>
      </c>
      <c r="H31" s="34">
        <v>4.7E-2</v>
      </c>
      <c r="I31" s="34">
        <v>4.7E-2</v>
      </c>
      <c r="J31" s="34">
        <v>4.7E-2</v>
      </c>
    </row>
    <row r="32" spans="2:10" x14ac:dyDescent="0.25">
      <c r="B32" s="9" t="s">
        <v>123</v>
      </c>
      <c r="C32" s="34">
        <f>C100/C48</f>
        <v>0.25042109453955225</v>
      </c>
      <c r="D32" s="34">
        <f>D100/D48</f>
        <v>0.25260257195345986</v>
      </c>
      <c r="E32" s="34">
        <f>E100/E48</f>
        <v>0.25922499999999998</v>
      </c>
      <c r="F32" s="34">
        <v>0.26</v>
      </c>
      <c r="G32" s="34">
        <v>0.26</v>
      </c>
      <c r="H32" s="34">
        <v>0.26</v>
      </c>
      <c r="I32" s="34">
        <v>0.26</v>
      </c>
      <c r="J32" s="34">
        <v>0.26</v>
      </c>
    </row>
    <row r="33" spans="2:10" x14ac:dyDescent="0.25">
      <c r="B33" s="9" t="s">
        <v>132</v>
      </c>
      <c r="C33" s="34">
        <f>C101/C48</f>
        <v>0.15358466297124307</v>
      </c>
      <c r="D33" s="34">
        <f>D101/D48</f>
        <v>0.13664198630518287</v>
      </c>
      <c r="E33" s="34">
        <f>E101/E48</f>
        <v>0.13664999999999999</v>
      </c>
      <c r="F33" s="34">
        <v>0.13700000000000001</v>
      </c>
      <c r="G33" s="34">
        <v>0.13700000000000001</v>
      </c>
      <c r="H33" s="34">
        <v>0.13500000000000001</v>
      </c>
      <c r="I33" s="34">
        <v>0.13500000000000001</v>
      </c>
      <c r="J33" s="34">
        <v>0.13500000000000001</v>
      </c>
    </row>
    <row r="34" spans="2:10" x14ac:dyDescent="0.25">
      <c r="B34" s="9" t="s">
        <v>133</v>
      </c>
      <c r="C34" s="34">
        <f>C102/C48</f>
        <v>0</v>
      </c>
      <c r="D34" s="34">
        <f>D102/D48</f>
        <v>0</v>
      </c>
      <c r="E34" s="34">
        <f>E102/E48</f>
        <v>0.13922499999999999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</row>
    <row r="35" spans="2:10" x14ac:dyDescent="0.25">
      <c r="B35" s="9" t="s">
        <v>134</v>
      </c>
      <c r="C35" s="34">
        <f>C103/C48</f>
        <v>5.3624475545891649E-2</v>
      </c>
      <c r="D35" s="34">
        <f>D103/D48</f>
        <v>4.8071034905082667E-2</v>
      </c>
      <c r="E35" s="34">
        <f>E103/E48</f>
        <v>7.5825000000000004E-2</v>
      </c>
      <c r="F35" s="34">
        <v>0.05</v>
      </c>
      <c r="G35" s="34">
        <v>0.04</v>
      </c>
      <c r="H35" s="34">
        <v>0.03</v>
      </c>
      <c r="I35" s="34">
        <v>0.02</v>
      </c>
      <c r="J35" s="34">
        <v>0.01</v>
      </c>
    </row>
    <row r="36" spans="2:10" x14ac:dyDescent="0.25">
      <c r="B36" s="9" t="s">
        <v>52</v>
      </c>
      <c r="C36" s="34">
        <f>C107/C48</f>
        <v>9.4662052491348417E-2</v>
      </c>
      <c r="D36" s="34">
        <f>D107/D48</f>
        <v>7.5711184100651335E-2</v>
      </c>
      <c r="E36" s="34">
        <f>E107/E48</f>
        <v>3.7975000000000002E-2</v>
      </c>
      <c r="F36" s="34">
        <v>0.04</v>
      </c>
      <c r="G36" s="34">
        <v>0.04</v>
      </c>
      <c r="H36" s="34">
        <v>0.04</v>
      </c>
      <c r="I36" s="34">
        <v>0.04</v>
      </c>
      <c r="J36" s="34">
        <v>0.04</v>
      </c>
    </row>
    <row r="37" spans="2:10" x14ac:dyDescent="0.25">
      <c r="B37" s="28" t="s">
        <v>128</v>
      </c>
      <c r="C37" s="35"/>
      <c r="D37" s="35"/>
      <c r="E37" s="35"/>
      <c r="F37" s="35"/>
      <c r="G37" s="35"/>
      <c r="H37" s="35"/>
      <c r="I37" s="35"/>
      <c r="J37" s="35"/>
    </row>
    <row r="38" spans="2:10" x14ac:dyDescent="0.25">
      <c r="B38" s="9" t="s">
        <v>109</v>
      </c>
      <c r="C38" s="34">
        <f>ABS(C141)/C48</f>
        <v>3.2431935809879645E-2</v>
      </c>
      <c r="D38" s="34">
        <f>ABS(D141)/D48</f>
        <v>3.498858765239659E-2</v>
      </c>
      <c r="E38" s="34">
        <f>ABS(E141)/E48</f>
        <v>3.705E-2</v>
      </c>
      <c r="F38" s="34">
        <v>3.6999999999999998E-2</v>
      </c>
      <c r="G38" s="34">
        <v>3.6999999999999998E-2</v>
      </c>
      <c r="H38" s="34">
        <v>3.6999999999999998E-2</v>
      </c>
      <c r="I38" s="34">
        <v>3.7999999999999999E-2</v>
      </c>
      <c r="J38" s="34">
        <v>3.7999999999999999E-2</v>
      </c>
    </row>
    <row r="39" spans="2:10" x14ac:dyDescent="0.25">
      <c r="B39" s="9" t="s">
        <v>107</v>
      </c>
      <c r="C39" s="34">
        <f>C124/C48</f>
        <v>2.3428168927816739E-2</v>
      </c>
      <c r="D39" s="34">
        <f>D124/D48</f>
        <v>2.3659745031453544E-2</v>
      </c>
      <c r="E39" s="34">
        <f>E124/E48</f>
        <v>2.2425E-2</v>
      </c>
      <c r="F39" s="34">
        <v>2.1999999999999999E-2</v>
      </c>
      <c r="G39" s="34">
        <v>2.1999999999999999E-2</v>
      </c>
      <c r="H39" s="34">
        <v>2.1000000000000001E-2</v>
      </c>
      <c r="I39" s="34">
        <v>2.1000000000000001E-2</v>
      </c>
      <c r="J39" s="34">
        <v>2.1000000000000001E-2</v>
      </c>
    </row>
    <row r="40" spans="2:10" x14ac:dyDescent="0.25">
      <c r="B40" s="9" t="s">
        <v>111</v>
      </c>
      <c r="C40" s="34">
        <f>SUM(C131:C138)/C48</f>
        <v>-0.30692432548311027</v>
      </c>
      <c r="D40" s="34">
        <f>SUM(D131:D138)/D48</f>
        <v>-0.42954962979457773</v>
      </c>
      <c r="E40" s="34">
        <f>SUM(E131:E138)/E48</f>
        <v>-0.37930000000000003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</row>
    <row r="41" spans="2:10" x14ac:dyDescent="0.25">
      <c r="B41" s="9" t="s">
        <v>108</v>
      </c>
      <c r="C41" s="34">
        <f>ABS(C152)/C48</f>
        <v>0.11487459038985698</v>
      </c>
      <c r="D41" s="34">
        <f>ABS(D152)/D48</f>
        <v>0.11738017035016422</v>
      </c>
      <c r="E41" s="34">
        <f>ABS(E152)/E48</f>
        <v>0.11584999999999999</v>
      </c>
      <c r="F41" s="34">
        <v>0.12</v>
      </c>
      <c r="G41" s="34">
        <v>0.12</v>
      </c>
      <c r="H41" s="34">
        <v>0.125</v>
      </c>
      <c r="I41" s="34">
        <v>0.125</v>
      </c>
      <c r="J41" s="34">
        <v>0.13</v>
      </c>
    </row>
    <row r="42" spans="2:10" x14ac:dyDescent="0.25">
      <c r="B42" s="29" t="s">
        <v>135</v>
      </c>
      <c r="C42" s="34">
        <f>ABS(C133)/C48</f>
        <v>0.33730438244571709</v>
      </c>
      <c r="D42" s="34">
        <f>ABS(D133)/D48</f>
        <v>0.39155486277347884</v>
      </c>
      <c r="E42" s="34">
        <f>ABS(E133)/E48</f>
        <v>0.38285000000000002</v>
      </c>
      <c r="F42" s="34">
        <f>AVERAGE(C42:E42)</f>
        <v>0.37056974840639861</v>
      </c>
      <c r="G42" s="34">
        <v>0.378</v>
      </c>
      <c r="H42" s="34">
        <v>0.379</v>
      </c>
      <c r="I42" s="34">
        <v>0.38</v>
      </c>
      <c r="J42" s="34">
        <v>0.38</v>
      </c>
    </row>
    <row r="43" spans="2:10" x14ac:dyDescent="0.25">
      <c r="B43" s="9" t="s">
        <v>112</v>
      </c>
      <c r="C43" s="34">
        <f>ABS(C150)/C48</f>
        <v>0.37059381986341222</v>
      </c>
      <c r="D43" s="34">
        <f>ABS(D150)/D48</f>
        <v>0.46520625730668597</v>
      </c>
      <c r="E43" s="34">
        <f>ABS(E150)/E48</f>
        <v>0.45789999999999997</v>
      </c>
      <c r="F43" s="34">
        <f>AVERAGE(C43:E43)</f>
        <v>0.43123335905669941</v>
      </c>
      <c r="G43" s="34">
        <f t="shared" ref="G43:J43" si="8">AVERAGE(D43:F43)</f>
        <v>0.45144653878779512</v>
      </c>
      <c r="H43" s="34">
        <f t="shared" si="8"/>
        <v>0.44685996594816485</v>
      </c>
      <c r="I43" s="34">
        <f t="shared" si="8"/>
        <v>0.44317995459755316</v>
      </c>
      <c r="J43" s="34">
        <f t="shared" si="8"/>
        <v>0.44716215311117108</v>
      </c>
    </row>
    <row r="44" spans="2:10" x14ac:dyDescent="0.25">
      <c r="B44" s="9" t="s">
        <v>137</v>
      </c>
      <c r="C44" s="34">
        <f>C154/C48</f>
        <v>7.9625149297154925E-3</v>
      </c>
      <c r="D44" s="34">
        <f>D154/D48</f>
        <v>9.3247230418081611E-3</v>
      </c>
      <c r="E44" s="34">
        <f>E154/E48</f>
        <v>9.9000000000000008E-3</v>
      </c>
      <c r="F44" s="34">
        <v>0.01</v>
      </c>
      <c r="G44" s="34">
        <v>0.01</v>
      </c>
      <c r="H44" s="34">
        <v>0.01</v>
      </c>
      <c r="I44" s="34">
        <v>0.01</v>
      </c>
      <c r="J44" s="34">
        <v>0.01</v>
      </c>
    </row>
    <row r="45" spans="2:10" x14ac:dyDescent="0.25">
      <c r="B45" s="25" t="s">
        <v>136</v>
      </c>
      <c r="C45" s="33">
        <f>ABS(C155)/C48</f>
        <v>3.9812574648577462E-3</v>
      </c>
      <c r="D45" s="33">
        <f>ABS(D155)/D48</f>
        <v>5.7896787841674553E-3</v>
      </c>
      <c r="E45" s="33">
        <f>ABS(E155)/E48</f>
        <v>7.025E-3</v>
      </c>
      <c r="F45" s="33">
        <v>7.0000000000000001E-3</v>
      </c>
      <c r="G45" s="33">
        <v>7.0000000000000001E-3</v>
      </c>
      <c r="H45" s="33">
        <v>8.0000000000000002E-3</v>
      </c>
      <c r="I45" s="33">
        <v>8.0000000000000002E-3</v>
      </c>
      <c r="J45" s="33">
        <v>8.0000000000000002E-3</v>
      </c>
    </row>
    <row r="46" spans="2:10" x14ac:dyDescent="0.25">
      <c r="B46" s="17"/>
    </row>
    <row r="47" spans="2:10" x14ac:dyDescent="0.25">
      <c r="B47" s="1" t="s">
        <v>0</v>
      </c>
      <c r="C47" s="3" t="s">
        <v>1</v>
      </c>
      <c r="D47" s="3" t="s">
        <v>2</v>
      </c>
      <c r="E47" s="3" t="s">
        <v>3</v>
      </c>
      <c r="F47" s="2" t="s">
        <v>4</v>
      </c>
      <c r="G47" s="2" t="s">
        <v>5</v>
      </c>
      <c r="H47" s="2" t="s">
        <v>6</v>
      </c>
      <c r="I47" s="2" t="s">
        <v>7</v>
      </c>
      <c r="J47" s="2" t="s">
        <v>8</v>
      </c>
    </row>
    <row r="48" spans="2:10" x14ac:dyDescent="0.25">
      <c r="B48" s="6" t="s">
        <v>103</v>
      </c>
      <c r="C48" s="38">
        <v>32653</v>
      </c>
      <c r="D48" s="38">
        <v>35926</v>
      </c>
      <c r="E48" s="38">
        <v>40000</v>
      </c>
      <c r="F48" s="38">
        <f>E48*(1+F4)</f>
        <v>43200</v>
      </c>
      <c r="G48" s="38">
        <f>F48*(1+G4)</f>
        <v>47428.352339446057</v>
      </c>
      <c r="H48" s="38">
        <f>G48*(1+H4)</f>
        <v>52076.330868711775</v>
      </c>
      <c r="I48" s="38">
        <f>H48*(1+I4)</f>
        <v>57179.811293845531</v>
      </c>
      <c r="J48" s="38">
        <f>I48*(1+J4)</f>
        <v>62781.117521011147</v>
      </c>
    </row>
    <row r="49" spans="2:10" x14ac:dyDescent="0.25">
      <c r="B49" s="4" t="s">
        <v>14</v>
      </c>
    </row>
    <row r="50" spans="2:10" x14ac:dyDescent="0.25">
      <c r="B50" s="5" t="s">
        <v>15</v>
      </c>
      <c r="C50" s="30">
        <v>5831</v>
      </c>
      <c r="D50" s="30">
        <v>6264</v>
      </c>
      <c r="E50" s="30">
        <v>6961</v>
      </c>
      <c r="F50" s="30">
        <f>F6*F48</f>
        <v>7516.7999999999993</v>
      </c>
      <c r="G50" s="30">
        <f>G6*G48</f>
        <v>8205.1049547241673</v>
      </c>
      <c r="H50" s="30">
        <f>H6*H48</f>
        <v>8957.1289094184249</v>
      </c>
      <c r="I50" s="30">
        <f>I6*I48</f>
        <v>9777.7477312475858</v>
      </c>
      <c r="J50" s="30">
        <f>J6*J48</f>
        <v>10672.789978571896</v>
      </c>
    </row>
    <row r="51" spans="2:10" x14ac:dyDescent="0.25">
      <c r="B51" s="5" t="s">
        <v>16</v>
      </c>
      <c r="C51" s="30">
        <v>1341</v>
      </c>
      <c r="D51" s="30">
        <v>1560</v>
      </c>
      <c r="E51" s="30">
        <v>1684</v>
      </c>
      <c r="F51" s="30">
        <f>F7*F48</f>
        <v>1814.4</v>
      </c>
      <c r="G51" s="30">
        <f>G7*G48</f>
        <v>1991.9907982567345</v>
      </c>
      <c r="H51" s="30">
        <f>H7*H48</f>
        <v>2187.2058964858948</v>
      </c>
      <c r="I51" s="30">
        <f>I7*I48</f>
        <v>2344.3722630476668</v>
      </c>
      <c r="J51" s="30">
        <f>J7*J48</f>
        <v>2574.0258183614569</v>
      </c>
    </row>
    <row r="52" spans="2:10" x14ac:dyDescent="0.25">
      <c r="B52" s="5" t="s">
        <v>17</v>
      </c>
      <c r="C52" s="30">
        <v>736</v>
      </c>
      <c r="D52" s="30">
        <v>778</v>
      </c>
      <c r="E52" s="30">
        <v>894</v>
      </c>
      <c r="F52" s="30">
        <f>F8*F48</f>
        <v>950.4</v>
      </c>
      <c r="G52" s="30">
        <f>G8*G48</f>
        <v>1043.4237514678132</v>
      </c>
      <c r="H52" s="30">
        <f>H8*H48</f>
        <v>1145.6792791116591</v>
      </c>
      <c r="I52" s="30">
        <f>I8*I48</f>
        <v>1257.9558484646016</v>
      </c>
      <c r="J52" s="30">
        <f>J8*J48</f>
        <v>1381.1845854622452</v>
      </c>
    </row>
    <row r="53" spans="2:10" x14ac:dyDescent="0.25">
      <c r="B53" s="5" t="s">
        <v>18</v>
      </c>
      <c r="C53" s="30">
        <v>545</v>
      </c>
      <c r="D53" s="30">
        <v>635</v>
      </c>
      <c r="E53" s="30">
        <v>759</v>
      </c>
      <c r="F53" s="30">
        <f>F9*F48</f>
        <v>820.8</v>
      </c>
      <c r="G53" s="30">
        <f>G9*G48</f>
        <v>901.13869444947511</v>
      </c>
      <c r="H53" s="30">
        <f>H9*H48</f>
        <v>989.45028650552365</v>
      </c>
      <c r="I53" s="30">
        <f>I9*I48</f>
        <v>1029.2366032892194</v>
      </c>
      <c r="J53" s="30">
        <f>J9*J48</f>
        <v>1130.0601153782006</v>
      </c>
    </row>
    <row r="54" spans="2:10" x14ac:dyDescent="0.25">
      <c r="B54" s="5" t="s">
        <v>19</v>
      </c>
      <c r="C54" s="30">
        <v>943</v>
      </c>
      <c r="D54" s="30">
        <v>1034</v>
      </c>
      <c r="E54" s="30">
        <v>1220</v>
      </c>
      <c r="F54" s="30">
        <f>F10*F48</f>
        <v>1296</v>
      </c>
      <c r="G54" s="30">
        <f>G10*G48</f>
        <v>1422.8505701833817</v>
      </c>
      <c r="H54" s="30">
        <f>H10*H48</f>
        <v>1562.2899260613533</v>
      </c>
      <c r="I54" s="30">
        <f>I10*I48</f>
        <v>1658.2145275215205</v>
      </c>
      <c r="J54" s="30">
        <f>J10*J48</f>
        <v>1820.6524081093235</v>
      </c>
    </row>
    <row r="55" spans="2:10" x14ac:dyDescent="0.25">
      <c r="B55" s="5" t="s">
        <v>20</v>
      </c>
      <c r="C55" s="30">
        <v>1330</v>
      </c>
      <c r="D55" s="30">
        <v>1598</v>
      </c>
      <c r="E55" s="30">
        <v>1926</v>
      </c>
      <c r="F55" s="30">
        <f>F11*F48</f>
        <v>2030.4</v>
      </c>
      <c r="G55" s="30">
        <f>G11*G48</f>
        <v>2181.7042076145185</v>
      </c>
      <c r="H55" s="30">
        <f>H11*H48</f>
        <v>2395.5112199607415</v>
      </c>
      <c r="I55" s="30">
        <f>I11*I48</f>
        <v>2573.091508223049</v>
      </c>
      <c r="J55" s="30">
        <f>J11*J48</f>
        <v>2825.1502884455017</v>
      </c>
    </row>
    <row r="56" spans="2:10" x14ac:dyDescent="0.25">
      <c r="B56" s="5" t="s">
        <v>21</v>
      </c>
      <c r="C56" s="30">
        <v>927</v>
      </c>
      <c r="D56" s="30">
        <v>462</v>
      </c>
      <c r="E56" s="30">
        <v>2562</v>
      </c>
      <c r="F56" s="30">
        <f>F12*F48</f>
        <v>0</v>
      </c>
      <c r="G56" s="30">
        <f>G12*G48</f>
        <v>0</v>
      </c>
      <c r="H56" s="30">
        <f>H12*H48</f>
        <v>0</v>
      </c>
      <c r="I56" s="30">
        <f>I12*I48</f>
        <v>0</v>
      </c>
      <c r="J56" s="30">
        <f>J12*J48</f>
        <v>0</v>
      </c>
    </row>
    <row r="57" spans="2:10" x14ac:dyDescent="0.25">
      <c r="B57" s="4" t="s">
        <v>151</v>
      </c>
      <c r="C57" s="30">
        <v>11653</v>
      </c>
      <c r="D57" s="30">
        <v>12331</v>
      </c>
      <c r="E57" s="30">
        <v>16006</v>
      </c>
      <c r="F57" s="30">
        <f>SUM(F50:F56)</f>
        <v>14428.799999999997</v>
      </c>
      <c r="G57" s="30">
        <f t="shared" ref="G57:J57" si="9">SUM(G50:G56)</f>
        <v>15746.212976696092</v>
      </c>
      <c r="H57" s="30">
        <f t="shared" si="9"/>
        <v>17237.265517543598</v>
      </c>
      <c r="I57" s="30">
        <f t="shared" si="9"/>
        <v>18640.618481793641</v>
      </c>
      <c r="J57" s="30">
        <f t="shared" si="9"/>
        <v>20403.863194328624</v>
      </c>
    </row>
    <row r="58" spans="2:10" x14ac:dyDescent="0.25">
      <c r="B58" s="7" t="s">
        <v>152</v>
      </c>
      <c r="C58" s="32">
        <v>21000</v>
      </c>
      <c r="D58" s="32">
        <v>23595</v>
      </c>
      <c r="E58" s="32">
        <v>23994</v>
      </c>
      <c r="F58" s="32">
        <f>F48-F57</f>
        <v>28771.200000000004</v>
      </c>
      <c r="G58" s="32">
        <f t="shared" ref="G58:J58" si="10">G48-G57</f>
        <v>31682.139362749964</v>
      </c>
      <c r="H58" s="32">
        <f t="shared" si="10"/>
        <v>34839.065351168174</v>
      </c>
      <c r="I58" s="32">
        <f t="shared" si="10"/>
        <v>38539.192812051886</v>
      </c>
      <c r="J58" s="32">
        <f t="shared" si="10"/>
        <v>42377.254326682523</v>
      </c>
    </row>
    <row r="59" spans="2:10" x14ac:dyDescent="0.25">
      <c r="B59" s="4" t="s">
        <v>140</v>
      </c>
    </row>
    <row r="60" spans="2:10" x14ac:dyDescent="0.25">
      <c r="B60" s="5" t="s">
        <v>22</v>
      </c>
      <c r="C60" s="30">
        <v>-644</v>
      </c>
      <c r="D60" s="30">
        <v>-641</v>
      </c>
      <c r="E60" s="30">
        <v>-589</v>
      </c>
      <c r="F60" s="30">
        <v>-589</v>
      </c>
      <c r="G60" s="30">
        <v>-589</v>
      </c>
      <c r="H60" s="30">
        <v>-589</v>
      </c>
      <c r="I60" s="30">
        <v>-589</v>
      </c>
      <c r="J60" s="30">
        <v>-589</v>
      </c>
    </row>
    <row r="61" spans="2:10" x14ac:dyDescent="0.25">
      <c r="B61" s="5" t="s">
        <v>23</v>
      </c>
      <c r="C61" s="30">
        <v>681</v>
      </c>
      <c r="D61" s="30">
        <v>962</v>
      </c>
      <c r="E61" s="30">
        <v>789</v>
      </c>
      <c r="F61" s="30">
        <f>E61*(1+F15)</f>
        <v>749.55</v>
      </c>
      <c r="G61" s="30">
        <f>F61*(1+G15)</f>
        <v>712.07249999999988</v>
      </c>
      <c r="H61" s="30">
        <f>G61*(1+H15)</f>
        <v>690.7103249999999</v>
      </c>
      <c r="I61" s="30">
        <f>H61*(1+I15)</f>
        <v>690.7103249999999</v>
      </c>
      <c r="J61" s="30">
        <f>I61*(1+J15)</f>
        <v>690.7103249999999</v>
      </c>
    </row>
    <row r="62" spans="2:10" x14ac:dyDescent="0.25">
      <c r="B62" s="39" t="s">
        <v>24</v>
      </c>
      <c r="C62" s="32">
        <v>37</v>
      </c>
      <c r="D62" s="32">
        <v>321</v>
      </c>
      <c r="E62" s="32">
        <v>200</v>
      </c>
      <c r="F62" s="32">
        <f>SUM(F60:F61)</f>
        <v>160.54999999999995</v>
      </c>
      <c r="G62" s="32">
        <f t="shared" ref="G62:J62" si="11">SUM(G60:G61)</f>
        <v>123.07249999999988</v>
      </c>
      <c r="H62" s="32">
        <f t="shared" si="11"/>
        <v>101.7103249999999</v>
      </c>
      <c r="I62" s="32">
        <f t="shared" si="11"/>
        <v>101.7103249999999</v>
      </c>
      <c r="J62" s="32">
        <f t="shared" si="11"/>
        <v>101.7103249999999</v>
      </c>
    </row>
    <row r="63" spans="2:10" x14ac:dyDescent="0.25">
      <c r="B63" t="s">
        <v>25</v>
      </c>
      <c r="C63" s="30">
        <v>21037</v>
      </c>
      <c r="D63" s="30">
        <v>23916</v>
      </c>
      <c r="E63" s="30">
        <v>24194</v>
      </c>
      <c r="F63" s="30">
        <f>F58+F62</f>
        <v>28931.750000000004</v>
      </c>
      <c r="G63" s="30">
        <f t="shared" ref="G63:J63" si="12">G58+G62</f>
        <v>31805.211862749962</v>
      </c>
      <c r="H63" s="30">
        <f t="shared" si="12"/>
        <v>34940.775676168174</v>
      </c>
      <c r="I63" s="30">
        <f t="shared" si="12"/>
        <v>38640.903137051886</v>
      </c>
      <c r="J63" s="30">
        <f t="shared" si="12"/>
        <v>42478.964651682523</v>
      </c>
    </row>
    <row r="64" spans="2:10" x14ac:dyDescent="0.25">
      <c r="B64" t="s">
        <v>26</v>
      </c>
      <c r="C64" s="30">
        <v>3764</v>
      </c>
      <c r="D64" s="30">
        <v>4173</v>
      </c>
      <c r="E64" s="30">
        <v>4136</v>
      </c>
      <c r="F64" s="30">
        <f>F63*F16</f>
        <v>5497.0325000000012</v>
      </c>
      <c r="G64" s="30">
        <f>G63*G16</f>
        <v>6042.9902539224931</v>
      </c>
      <c r="H64" s="30">
        <f>H63*H16</f>
        <v>6638.7473784719532</v>
      </c>
      <c r="I64" s="30">
        <f>I63*I16</f>
        <v>7341.7715960398582</v>
      </c>
      <c r="J64" s="30">
        <f>J63*J16</f>
        <v>8071.0032838196794</v>
      </c>
    </row>
    <row r="65" spans="2:10" x14ac:dyDescent="0.25">
      <c r="B65" s="39" t="s">
        <v>27</v>
      </c>
      <c r="C65" s="38">
        <v>17273</v>
      </c>
      <c r="D65" s="38">
        <v>19743</v>
      </c>
      <c r="E65" s="38">
        <v>20058</v>
      </c>
      <c r="F65" s="38">
        <f>F63-F64</f>
        <v>23434.717500000002</v>
      </c>
      <c r="G65" s="38">
        <f t="shared" ref="G65:J65" si="13">G63-G64</f>
        <v>25762.221608827469</v>
      </c>
      <c r="H65" s="38">
        <f t="shared" si="13"/>
        <v>28302.028297696219</v>
      </c>
      <c r="I65" s="38">
        <f t="shared" si="13"/>
        <v>31299.13154101203</v>
      </c>
      <c r="J65" s="38">
        <f t="shared" si="13"/>
        <v>34407.961367862845</v>
      </c>
    </row>
    <row r="66" spans="2:10" x14ac:dyDescent="0.25">
      <c r="B66" s="4" t="s">
        <v>145</v>
      </c>
      <c r="C66" s="37"/>
      <c r="D66" s="37"/>
      <c r="E66" s="37"/>
      <c r="F66" s="37"/>
      <c r="G66" s="37"/>
      <c r="H66" s="37"/>
      <c r="I66" s="37"/>
      <c r="J66" s="37"/>
    </row>
    <row r="67" spans="2:10" x14ac:dyDescent="0.25">
      <c r="B67" s="5" t="s">
        <v>146</v>
      </c>
      <c r="C67" s="45">
        <v>8.2799999999999994</v>
      </c>
      <c r="D67" s="45">
        <v>9.73</v>
      </c>
      <c r="E67" s="45">
        <v>10.199999999999999</v>
      </c>
      <c r="F67" s="45"/>
      <c r="G67" s="45"/>
      <c r="H67" s="45"/>
      <c r="I67" s="45"/>
      <c r="J67" s="45"/>
    </row>
    <row r="68" spans="2:10" x14ac:dyDescent="0.25">
      <c r="B68" s="5" t="s">
        <v>147</v>
      </c>
      <c r="C68" s="45">
        <v>13.24</v>
      </c>
      <c r="D68" s="45">
        <v>15.45</v>
      </c>
      <c r="E68" s="45">
        <v>15.95</v>
      </c>
      <c r="F68" s="45"/>
      <c r="G68" s="45"/>
      <c r="H68" s="45"/>
      <c r="I68" s="45"/>
      <c r="J68" s="45"/>
    </row>
    <row r="69" spans="2:10" x14ac:dyDescent="0.25">
      <c r="B69" s="5" t="s">
        <v>148</v>
      </c>
      <c r="C69" s="45">
        <v>0</v>
      </c>
      <c r="D69" s="45">
        <v>15.43</v>
      </c>
      <c r="E69" s="45">
        <v>15.7</v>
      </c>
      <c r="F69" s="45"/>
      <c r="G69" s="45"/>
      <c r="H69" s="45"/>
      <c r="I69" s="45"/>
      <c r="J69" s="45"/>
    </row>
    <row r="70" spans="2:10" x14ac:dyDescent="0.25">
      <c r="B70" s="26" t="s">
        <v>149</v>
      </c>
      <c r="C70" s="46">
        <v>33.130000000000003</v>
      </c>
      <c r="D70" s="46">
        <v>38.92</v>
      </c>
      <c r="E70" s="46">
        <v>40.82</v>
      </c>
      <c r="F70" s="46"/>
      <c r="G70" s="46"/>
      <c r="H70" s="46"/>
      <c r="I70" s="46"/>
      <c r="J70" s="46"/>
    </row>
    <row r="71" spans="2:10" x14ac:dyDescent="0.25">
      <c r="B71" s="4" t="s">
        <v>150</v>
      </c>
      <c r="C71" s="30"/>
      <c r="D71" s="30"/>
      <c r="E71" s="30"/>
      <c r="F71" s="30"/>
      <c r="G71" s="30"/>
      <c r="H71" s="30"/>
      <c r="I71" s="30"/>
      <c r="J71" s="30"/>
    </row>
    <row r="72" spans="2:10" x14ac:dyDescent="0.25">
      <c r="B72" s="5" t="s">
        <v>146</v>
      </c>
      <c r="C72" s="30">
        <v>2085</v>
      </c>
      <c r="D72" s="30">
        <v>2029</v>
      </c>
      <c r="E72" s="30">
        <v>1966</v>
      </c>
      <c r="F72" s="30"/>
      <c r="G72" s="30"/>
      <c r="H72" s="30"/>
      <c r="I72" s="30"/>
      <c r="J72" s="30"/>
    </row>
    <row r="73" spans="2:10" x14ac:dyDescent="0.25">
      <c r="B73" s="5" t="s">
        <v>147</v>
      </c>
      <c r="C73" s="30">
        <v>245</v>
      </c>
      <c r="D73" s="30">
        <v>148</v>
      </c>
      <c r="E73" s="30">
        <v>5</v>
      </c>
      <c r="F73" s="30"/>
      <c r="G73" s="30"/>
      <c r="H73" s="30"/>
      <c r="I73" s="30"/>
      <c r="J73" s="30"/>
    </row>
    <row r="74" spans="2:10" x14ac:dyDescent="0.25">
      <c r="B74" s="5" t="s">
        <v>148</v>
      </c>
      <c r="C74" s="30">
        <v>0</v>
      </c>
      <c r="D74" s="30">
        <v>49</v>
      </c>
      <c r="E74" s="30">
        <v>120</v>
      </c>
      <c r="F74" s="30"/>
      <c r="G74" s="30"/>
      <c r="H74" s="30"/>
      <c r="I74" s="30"/>
      <c r="J74" s="30"/>
    </row>
    <row r="75" spans="2:10" ht="15.75" thickBot="1" x14ac:dyDescent="0.3">
      <c r="B75" s="44" t="s">
        <v>149</v>
      </c>
      <c r="C75" s="47">
        <v>10</v>
      </c>
      <c r="D75" s="47">
        <v>16</v>
      </c>
      <c r="E75" s="47">
        <v>9</v>
      </c>
      <c r="F75" s="47"/>
      <c r="G75" s="47"/>
      <c r="H75" s="47"/>
      <c r="I75" s="47"/>
      <c r="J75" s="47"/>
    </row>
    <row r="77" spans="2:10" x14ac:dyDescent="0.25">
      <c r="B77" s="1" t="s">
        <v>12</v>
      </c>
      <c r="C77" s="3" t="s">
        <v>1</v>
      </c>
      <c r="D77" s="3" t="s">
        <v>2</v>
      </c>
      <c r="E77" s="3" t="s">
        <v>3</v>
      </c>
      <c r="F77" s="2" t="s">
        <v>4</v>
      </c>
      <c r="G77" s="2" t="s">
        <v>5</v>
      </c>
      <c r="H77" s="2" t="s">
        <v>6</v>
      </c>
      <c r="I77" s="2" t="s">
        <v>7</v>
      </c>
      <c r="J77" s="2" t="s">
        <v>8</v>
      </c>
    </row>
    <row r="78" spans="2:10" x14ac:dyDescent="0.25">
      <c r="B78" s="4" t="s">
        <v>28</v>
      </c>
    </row>
    <row r="79" spans="2:10" x14ac:dyDescent="0.25">
      <c r="B79" s="5" t="s">
        <v>29</v>
      </c>
      <c r="C79" s="30">
        <v>16286</v>
      </c>
      <c r="D79" s="30">
        <v>11975</v>
      </c>
      <c r="E79" s="30">
        <v>17164</v>
      </c>
      <c r="F79" s="30">
        <f>F18*F48</f>
        <v>17280</v>
      </c>
      <c r="G79" s="30">
        <f>G18*G48</f>
        <v>18022.773888989501</v>
      </c>
      <c r="H79" s="30">
        <f>H18*H48</f>
        <v>18747.479112736237</v>
      </c>
      <c r="I79" s="30">
        <f>I18*I48</f>
        <v>19441.135839907482</v>
      </c>
      <c r="J79" s="30">
        <f>J18*J48</f>
        <v>20089.957606723568</v>
      </c>
    </row>
    <row r="80" spans="2:10" x14ac:dyDescent="0.25">
      <c r="B80" s="9" t="s">
        <v>53</v>
      </c>
      <c r="C80" s="30">
        <v>1764</v>
      </c>
      <c r="D80" s="30">
        <v>3089</v>
      </c>
      <c r="E80" s="30">
        <v>2990</v>
      </c>
      <c r="F80" s="30">
        <f>2990</f>
        <v>2990</v>
      </c>
      <c r="G80" s="30">
        <f>2990</f>
        <v>2990</v>
      </c>
      <c r="H80" s="30">
        <f>2990</f>
        <v>2990</v>
      </c>
      <c r="I80" s="30">
        <f>2990</f>
        <v>2990</v>
      </c>
      <c r="J80" s="30">
        <f>2990</f>
        <v>2990</v>
      </c>
    </row>
    <row r="81" spans="2:10" x14ac:dyDescent="0.25">
      <c r="B81" s="9" t="s">
        <v>31</v>
      </c>
      <c r="C81" s="30">
        <v>3842</v>
      </c>
      <c r="D81" s="30">
        <v>3200</v>
      </c>
      <c r="E81" s="30">
        <v>1833</v>
      </c>
      <c r="F81" s="30">
        <f>F19*F48</f>
        <v>2160</v>
      </c>
      <c r="G81" s="30">
        <f>G19*G48</f>
        <v>2371.4176169723028</v>
      </c>
      <c r="H81" s="30">
        <f>H19*H48</f>
        <v>2603.8165434355888</v>
      </c>
      <c r="I81" s="30">
        <f>I19*I48</f>
        <v>2858.9905646922766</v>
      </c>
      <c r="J81" s="30">
        <f>J19*J48</f>
        <v>3139.0558760505573</v>
      </c>
    </row>
    <row r="82" spans="2:10" x14ac:dyDescent="0.25">
      <c r="B82" s="9" t="s">
        <v>32</v>
      </c>
      <c r="C82" s="30">
        <v>2183</v>
      </c>
      <c r="D82" s="30">
        <v>4454</v>
      </c>
      <c r="E82" s="30">
        <v>4191</v>
      </c>
      <c r="F82" s="30">
        <f>F20*F48</f>
        <v>4536</v>
      </c>
      <c r="G82" s="30">
        <f>G20*G48</f>
        <v>4979.9769956418359</v>
      </c>
      <c r="H82" s="30">
        <f>H20*H48</f>
        <v>5207.6330868711775</v>
      </c>
      <c r="I82" s="30">
        <f>I20*I48</f>
        <v>5717.9811293845532</v>
      </c>
      <c r="J82" s="30">
        <f>J20*J48</f>
        <v>6278.1117521011147</v>
      </c>
    </row>
    <row r="83" spans="2:10" x14ac:dyDescent="0.25">
      <c r="B83" s="9" t="s">
        <v>30</v>
      </c>
      <c r="C83" s="30">
        <v>2291</v>
      </c>
      <c r="D83" s="30">
        <v>2561</v>
      </c>
      <c r="E83" s="30">
        <v>3126</v>
      </c>
      <c r="F83" s="30">
        <f>F21*F48</f>
        <v>4536</v>
      </c>
      <c r="G83" s="30">
        <f>G21*G48</f>
        <v>4979.9769956418359</v>
      </c>
      <c r="H83" s="30">
        <f>H21*H48</f>
        <v>5207.6330868711775</v>
      </c>
      <c r="I83" s="30">
        <f>I21*I48</f>
        <v>5717.9811293845532</v>
      </c>
      <c r="J83" s="30">
        <f>J21*J48</f>
        <v>6278.1117521011147</v>
      </c>
    </row>
    <row r="84" spans="2:10" x14ac:dyDescent="0.25">
      <c r="B84" s="9" t="s">
        <v>33</v>
      </c>
      <c r="C84" s="30">
        <v>3005</v>
      </c>
      <c r="D84" s="30">
        <v>3524</v>
      </c>
      <c r="E84" s="30">
        <v>3625</v>
      </c>
      <c r="F84" s="30">
        <f>F22*F48</f>
        <v>3974.4</v>
      </c>
      <c r="G84" s="30">
        <f>G22*G48</f>
        <v>4363.408415229037</v>
      </c>
      <c r="H84" s="30">
        <f>H22*H48</f>
        <v>4791.0224399214831</v>
      </c>
      <c r="I84" s="30">
        <f>I22*I48</f>
        <v>5260.5426390337889</v>
      </c>
      <c r="J84" s="30">
        <f>J22*J48</f>
        <v>5775.8628119330251</v>
      </c>
    </row>
    <row r="85" spans="2:10" x14ac:dyDescent="0.25">
      <c r="B85" s="9" t="s">
        <v>34</v>
      </c>
      <c r="C85" s="30">
        <v>1577</v>
      </c>
      <c r="D85" s="30">
        <v>1918</v>
      </c>
      <c r="E85" s="30">
        <v>2158</v>
      </c>
      <c r="F85" s="30">
        <f>F32*F48</f>
        <v>11232</v>
      </c>
      <c r="G85" s="30">
        <f>G32*G48</f>
        <v>12331.371608255975</v>
      </c>
      <c r="H85" s="30">
        <f>H32*H48</f>
        <v>13539.846025865061</v>
      </c>
      <c r="I85" s="30">
        <f>I32*I48</f>
        <v>14866.750936399838</v>
      </c>
      <c r="J85" s="30">
        <f>J32*J48</f>
        <v>16323.090555462899</v>
      </c>
    </row>
    <row r="86" spans="2:10" x14ac:dyDescent="0.25">
      <c r="B86" s="9" t="s">
        <v>35</v>
      </c>
      <c r="C86" s="30">
        <v>2584</v>
      </c>
      <c r="D86" s="30">
        <v>3312</v>
      </c>
      <c r="E86" s="30">
        <v>2679</v>
      </c>
      <c r="F86" s="30">
        <f>F23*F48</f>
        <v>3024.0000000000005</v>
      </c>
      <c r="G86" s="30">
        <f>G23*G48</f>
        <v>3319.9846637612245</v>
      </c>
      <c r="H86" s="30">
        <f>H23*H48</f>
        <v>3645.3431608098244</v>
      </c>
      <c r="I86" s="30">
        <f>I23*I48</f>
        <v>4002.5867905691875</v>
      </c>
      <c r="J86" s="30">
        <f>J23*J48</f>
        <v>4394.6782264707808</v>
      </c>
    </row>
    <row r="87" spans="2:10" x14ac:dyDescent="0.25">
      <c r="B87" s="10" t="s">
        <v>36</v>
      </c>
      <c r="C87" s="30">
        <v>33532</v>
      </c>
      <c r="D87" s="30">
        <v>34033</v>
      </c>
      <c r="E87" s="30">
        <v>37766</v>
      </c>
      <c r="F87" s="30">
        <f>SUM(F79:F86)</f>
        <v>49732.4</v>
      </c>
      <c r="G87" s="30">
        <f t="shared" ref="G87:J87" si="14">SUM(G79:G86)</f>
        <v>53358.910184491717</v>
      </c>
      <c r="H87" s="30">
        <f t="shared" si="14"/>
        <v>56732.773456510549</v>
      </c>
      <c r="I87" s="30">
        <f t="shared" si="14"/>
        <v>60855.969029371678</v>
      </c>
      <c r="J87" s="30">
        <f t="shared" si="14"/>
        <v>65268.86858084306</v>
      </c>
    </row>
    <row r="88" spans="2:10" x14ac:dyDescent="0.25">
      <c r="B88" s="8" t="s">
        <v>31</v>
      </c>
      <c r="C88" s="30">
        <v>1921</v>
      </c>
      <c r="D88" s="30">
        <v>2545</v>
      </c>
      <c r="E88" s="30">
        <v>999</v>
      </c>
      <c r="F88" s="30">
        <f>F24*F48</f>
        <v>2226.8994542095115</v>
      </c>
      <c r="G88" s="30">
        <f>G24*G48</f>
        <v>2561.131026330087</v>
      </c>
      <c r="H88" s="30">
        <f>H24*H48</f>
        <v>2603.8165434355888</v>
      </c>
      <c r="I88" s="30">
        <f>I24*I48</f>
        <v>2858.9905646922766</v>
      </c>
      <c r="J88" s="30">
        <f>J24*J48</f>
        <v>3139.0558760505573</v>
      </c>
    </row>
    <row r="89" spans="2:10" x14ac:dyDescent="0.25">
      <c r="B89" s="8" t="s">
        <v>37</v>
      </c>
      <c r="C89" s="30">
        <v>3789</v>
      </c>
      <c r="D89" s="30">
        <v>4628</v>
      </c>
      <c r="E89" s="30">
        <v>5157</v>
      </c>
      <c r="F89" s="30">
        <f>F25*F48</f>
        <v>5400</v>
      </c>
      <c r="G89" s="30">
        <f>G25*G48</f>
        <v>5928.5440424307571</v>
      </c>
      <c r="H89" s="30">
        <f>H25*H48</f>
        <v>6717.8466820638196</v>
      </c>
      <c r="I89" s="30">
        <f>I25*I48</f>
        <v>7376.195656906074</v>
      </c>
      <c r="J89" s="30">
        <f>J25*J48</f>
        <v>8098.7641602104386</v>
      </c>
    </row>
    <row r="90" spans="2:10" x14ac:dyDescent="0.25">
      <c r="B90" s="8" t="s">
        <v>38</v>
      </c>
      <c r="C90" s="30">
        <v>3425</v>
      </c>
      <c r="D90" s="30">
        <v>3824</v>
      </c>
      <c r="E90" s="30">
        <v>4236</v>
      </c>
      <c r="F90" s="30">
        <f>E90+ABS(F141)-F125</f>
        <v>3807.0845475000006</v>
      </c>
      <c r="G90" s="30">
        <f>F90+ABS(G141)-G125</f>
        <v>3337.4361768432345</v>
      </c>
      <c r="H90" s="30">
        <f>G90+ABS(H141)-H125</f>
        <v>2822.3212977966414</v>
      </c>
      <c r="I90" s="30">
        <f>H90+ABS(I141)-I125</f>
        <v>2353.4737688335781</v>
      </c>
      <c r="J90" s="30">
        <f>I90+ABS(J141)-J125</f>
        <v>1840.3238927030429</v>
      </c>
    </row>
    <row r="91" spans="2:10" x14ac:dyDescent="0.25">
      <c r="B91" s="8" t="s">
        <v>39</v>
      </c>
      <c r="C91" s="30">
        <v>17997</v>
      </c>
      <c r="D91" s="30">
        <v>18941</v>
      </c>
      <c r="E91" s="30">
        <v>19879</v>
      </c>
      <c r="F91" s="30">
        <v>19879</v>
      </c>
      <c r="G91" s="30">
        <v>19879</v>
      </c>
      <c r="H91" s="30">
        <v>19879</v>
      </c>
      <c r="I91" s="30">
        <v>19879</v>
      </c>
      <c r="J91" s="30">
        <v>19879</v>
      </c>
    </row>
    <row r="92" spans="2:10" x14ac:dyDescent="0.25">
      <c r="B92" s="8" t="s">
        <v>40</v>
      </c>
      <c r="C92" s="30">
        <v>26104</v>
      </c>
      <c r="D92" s="30">
        <v>26889</v>
      </c>
      <c r="E92" s="30">
        <v>27646</v>
      </c>
      <c r="F92" s="30">
        <f>27646</f>
        <v>27646</v>
      </c>
      <c r="G92" s="30">
        <f>27646</f>
        <v>27646</v>
      </c>
      <c r="H92" s="30">
        <f>27646</f>
        <v>27646</v>
      </c>
      <c r="I92" s="30">
        <f>27646</f>
        <v>27646</v>
      </c>
      <c r="J92" s="30">
        <f>27646</f>
        <v>27646</v>
      </c>
    </row>
    <row r="93" spans="2:10" x14ac:dyDescent="0.25">
      <c r="B93" s="8" t="s">
        <v>41</v>
      </c>
      <c r="C93" s="30">
        <v>3731</v>
      </c>
      <c r="D93" s="30">
        <v>3651</v>
      </c>
      <c r="E93" s="30">
        <v>3944</v>
      </c>
      <c r="F93" s="30">
        <f>F26*F48</f>
        <v>4320</v>
      </c>
      <c r="G93" s="30">
        <f>G26*G48</f>
        <v>4742.8352339446055</v>
      </c>
      <c r="H93" s="30">
        <f>H26*H48</f>
        <v>5207.6330868711775</v>
      </c>
      <c r="I93" s="30">
        <f>I26*I48</f>
        <v>5717.9811293845532</v>
      </c>
      <c r="J93" s="30">
        <f>J26*J48</f>
        <v>6278.1117521011147</v>
      </c>
    </row>
    <row r="94" spans="2:10" x14ac:dyDescent="0.25">
      <c r="B94" s="11" t="s">
        <v>42</v>
      </c>
      <c r="C94" s="38">
        <v>90499</v>
      </c>
      <c r="D94" s="38">
        <v>94511</v>
      </c>
      <c r="E94" s="38">
        <v>99627</v>
      </c>
      <c r="F94" s="38">
        <f>SUM(F87:F93)</f>
        <v>113011.38400170952</v>
      </c>
      <c r="G94" s="38">
        <f t="shared" ref="G94:J94" si="15">SUM(G87:G93)</f>
        <v>117453.8566640404</v>
      </c>
      <c r="H94" s="38">
        <f t="shared" si="15"/>
        <v>121609.39106667778</v>
      </c>
      <c r="I94" s="38">
        <f t="shared" si="15"/>
        <v>126687.61014918816</v>
      </c>
      <c r="J94" s="38">
        <f t="shared" si="15"/>
        <v>132150.1242619082</v>
      </c>
    </row>
    <row r="95" spans="2:10" x14ac:dyDescent="0.25">
      <c r="B95" s="10" t="s">
        <v>54</v>
      </c>
    </row>
    <row r="96" spans="2:10" x14ac:dyDescent="0.25">
      <c r="B96" s="9" t="s">
        <v>43</v>
      </c>
      <c r="C96" s="30">
        <v>375</v>
      </c>
      <c r="D96" s="30">
        <v>479</v>
      </c>
      <c r="E96" s="30">
        <v>555</v>
      </c>
      <c r="F96" s="30">
        <f>F28*F48</f>
        <v>604.80000000000007</v>
      </c>
      <c r="G96" s="30">
        <f>G28*G48</f>
        <v>663.99693275224479</v>
      </c>
      <c r="H96" s="30">
        <f>H28*H48</f>
        <v>781.14496303067665</v>
      </c>
      <c r="I96" s="30">
        <f>I28*I48</f>
        <v>857.69716940768296</v>
      </c>
      <c r="J96" s="30">
        <f>J28*J48</f>
        <v>941.71676281516716</v>
      </c>
    </row>
    <row r="97" spans="2:10" x14ac:dyDescent="0.25">
      <c r="B97" s="9" t="s">
        <v>44</v>
      </c>
      <c r="C97" s="30">
        <v>3269</v>
      </c>
      <c r="D97" s="30">
        <v>5265</v>
      </c>
      <c r="E97" s="30">
        <v>4568</v>
      </c>
      <c r="F97" s="30">
        <f>F29*F48</f>
        <v>4968</v>
      </c>
      <c r="G97" s="30">
        <f>G29*G48</f>
        <v>5454.2605190362965</v>
      </c>
      <c r="H97" s="30">
        <f>H29*H48</f>
        <v>5988.7780499018545</v>
      </c>
      <c r="I97" s="30">
        <f>I29*I48</f>
        <v>6575.6782987922361</v>
      </c>
      <c r="J97" s="30">
        <f>J29*J48</f>
        <v>7219.8285149162821</v>
      </c>
    </row>
    <row r="98" spans="2:10" x14ac:dyDescent="0.25">
      <c r="B98" s="9" t="s">
        <v>33</v>
      </c>
      <c r="C98" s="30">
        <v>3005</v>
      </c>
      <c r="D98" s="30">
        <v>3524</v>
      </c>
      <c r="E98" s="30">
        <v>3625</v>
      </c>
      <c r="F98" s="30">
        <f>F30*F48</f>
        <v>2030.4</v>
      </c>
      <c r="G98" s="30">
        <f>G30*G48</f>
        <v>2229.1325599539646</v>
      </c>
      <c r="H98" s="30">
        <f>H30*H48</f>
        <v>2447.5875508294534</v>
      </c>
      <c r="I98" s="30">
        <f>I30*I48</f>
        <v>2687.4511308107399</v>
      </c>
      <c r="J98" s="30">
        <f>J30*J48</f>
        <v>2950.7125234875239</v>
      </c>
    </row>
    <row r="99" spans="2:10" x14ac:dyDescent="0.25">
      <c r="B99" s="9" t="s">
        <v>45</v>
      </c>
      <c r="C99" s="30">
        <v>1506</v>
      </c>
      <c r="D99" s="30">
        <v>1538</v>
      </c>
      <c r="E99" s="30">
        <v>1863</v>
      </c>
      <c r="F99" s="30">
        <f>F31*F48</f>
        <v>2030.4</v>
      </c>
      <c r="G99" s="30">
        <f>G31*G48</f>
        <v>2229.1325599539646</v>
      </c>
      <c r="H99" s="30">
        <f>H31*H48</f>
        <v>2447.5875508294534</v>
      </c>
      <c r="I99" s="30">
        <f>I31*I48</f>
        <v>2687.4511308107399</v>
      </c>
      <c r="J99" s="30">
        <f>J31*J48</f>
        <v>2950.7125234875239</v>
      </c>
    </row>
    <row r="100" spans="2:10" x14ac:dyDescent="0.25">
      <c r="B100" s="9" t="s">
        <v>37</v>
      </c>
      <c r="C100" s="30">
        <v>8177</v>
      </c>
      <c r="D100" s="30">
        <v>9075</v>
      </c>
      <c r="E100" s="30">
        <v>10369</v>
      </c>
      <c r="F100" s="30">
        <f>F32*F48</f>
        <v>11232</v>
      </c>
      <c r="G100" s="30">
        <f>G32*G48</f>
        <v>12331.371608255975</v>
      </c>
      <c r="H100" s="30">
        <f>H32*H48</f>
        <v>13539.846025865061</v>
      </c>
      <c r="I100" s="30">
        <f>I32*I48</f>
        <v>14866.750936399838</v>
      </c>
      <c r="J100" s="30">
        <f>J32*J48</f>
        <v>16323.090555462899</v>
      </c>
    </row>
    <row r="101" spans="2:10" x14ac:dyDescent="0.25">
      <c r="B101" s="9" t="s">
        <v>46</v>
      </c>
      <c r="C101" s="30">
        <v>5015</v>
      </c>
      <c r="D101" s="30">
        <v>4909</v>
      </c>
      <c r="E101" s="30">
        <v>5466</v>
      </c>
      <c r="F101" s="30">
        <f>F33*F48</f>
        <v>5918.4000000000005</v>
      </c>
      <c r="G101" s="30">
        <f>G33*G48</f>
        <v>6497.6842705041099</v>
      </c>
      <c r="H101" s="30">
        <f>H33*H48</f>
        <v>7030.3046672760902</v>
      </c>
      <c r="I101" s="30">
        <f>I33*I48</f>
        <v>7719.2745246691475</v>
      </c>
      <c r="J101" s="30">
        <f>J33*J48</f>
        <v>8475.4508653365046</v>
      </c>
    </row>
    <row r="102" spans="2:10" x14ac:dyDescent="0.25">
      <c r="B102" s="9" t="s">
        <v>47</v>
      </c>
      <c r="C102" s="30">
        <v>0</v>
      </c>
      <c r="D102" s="30">
        <v>0</v>
      </c>
      <c r="E102" s="30">
        <v>5569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</row>
    <row r="103" spans="2:10" x14ac:dyDescent="0.25">
      <c r="B103" s="9" t="s">
        <v>48</v>
      </c>
      <c r="C103" s="30">
        <v>1751</v>
      </c>
      <c r="D103" s="30">
        <v>1727</v>
      </c>
      <c r="E103" s="30">
        <v>3033</v>
      </c>
      <c r="F103" s="30">
        <f>F35*F48</f>
        <v>2160</v>
      </c>
      <c r="G103" s="30">
        <f>G35*G48</f>
        <v>1897.1340935778423</v>
      </c>
      <c r="H103" s="30">
        <f>H35*H48</f>
        <v>1562.2899260613533</v>
      </c>
      <c r="I103" s="30">
        <f>I35*I48</f>
        <v>1143.5962258769107</v>
      </c>
      <c r="J103" s="30">
        <f>J35*J48</f>
        <v>627.81117521011151</v>
      </c>
    </row>
    <row r="104" spans="2:10" x14ac:dyDescent="0.25">
      <c r="B104" s="9" t="s">
        <v>49</v>
      </c>
      <c r="C104" s="30">
        <v>23098</v>
      </c>
      <c r="D104" s="30">
        <v>26517</v>
      </c>
      <c r="E104" s="30">
        <v>35048</v>
      </c>
      <c r="F104" s="30">
        <f>SUM(F96:F103)</f>
        <v>28944</v>
      </c>
      <c r="G104" s="30">
        <f t="shared" ref="G104:J104" si="16">SUM(G96:G103)</f>
        <v>31302.712544034399</v>
      </c>
      <c r="H104" s="30">
        <f t="shared" si="16"/>
        <v>33797.538733793946</v>
      </c>
      <c r="I104" s="30">
        <f t="shared" si="16"/>
        <v>36537.899416767301</v>
      </c>
      <c r="J104" s="30">
        <f t="shared" si="16"/>
        <v>39489.322920716011</v>
      </c>
    </row>
    <row r="105" spans="2:10" x14ac:dyDescent="0.25">
      <c r="B105" s="9" t="s">
        <v>50</v>
      </c>
      <c r="C105" s="30">
        <v>20463</v>
      </c>
      <c r="D105" s="30">
        <v>20836</v>
      </c>
      <c r="E105" s="30">
        <v>19602</v>
      </c>
      <c r="F105" s="30">
        <v>19602</v>
      </c>
      <c r="G105" s="30">
        <v>19602</v>
      </c>
      <c r="H105" s="30">
        <v>19602</v>
      </c>
      <c r="I105" s="30">
        <v>19602</v>
      </c>
      <c r="J105" s="30">
        <v>19602</v>
      </c>
    </row>
    <row r="106" spans="2:10" x14ac:dyDescent="0.25">
      <c r="B106" s="9" t="s">
        <v>51</v>
      </c>
      <c r="C106" s="30">
        <v>5114</v>
      </c>
      <c r="D106" s="30">
        <v>5301</v>
      </c>
      <c r="E106" s="30">
        <v>5549</v>
      </c>
      <c r="F106" s="30">
        <v>5549</v>
      </c>
      <c r="G106" s="30">
        <v>5549</v>
      </c>
      <c r="H106" s="30">
        <v>5549</v>
      </c>
      <c r="I106" s="30">
        <v>5549</v>
      </c>
      <c r="J106" s="30">
        <v>5549</v>
      </c>
    </row>
    <row r="107" spans="2:10" x14ac:dyDescent="0.25">
      <c r="B107" s="9" t="s">
        <v>52</v>
      </c>
      <c r="C107" s="30">
        <v>3091</v>
      </c>
      <c r="D107" s="30">
        <v>2720</v>
      </c>
      <c r="E107" s="30">
        <v>1519</v>
      </c>
      <c r="F107" s="30">
        <f>F36*F48</f>
        <v>1728</v>
      </c>
      <c r="G107" s="30">
        <f>G36*G48</f>
        <v>1897.1340935778423</v>
      </c>
      <c r="H107" s="30">
        <f>H36*H48</f>
        <v>2083.0532347484709</v>
      </c>
      <c r="I107" s="30">
        <f>I36*I48</f>
        <v>2287.1924517538214</v>
      </c>
      <c r="J107" s="30">
        <f>J36*J48</f>
        <v>2511.2447008404461</v>
      </c>
    </row>
    <row r="108" spans="2:10" x14ac:dyDescent="0.25">
      <c r="B108" s="11" t="s">
        <v>55</v>
      </c>
      <c r="C108" s="38">
        <v>51766</v>
      </c>
      <c r="D108" s="38">
        <v>55374</v>
      </c>
      <c r="E108" s="38">
        <v>61718</v>
      </c>
      <c r="F108" s="38">
        <f>SUM(F103:F106)</f>
        <v>56255</v>
      </c>
      <c r="G108" s="38">
        <f>SUM(G103:G106)</f>
        <v>58350.846637612238</v>
      </c>
      <c r="H108" s="38">
        <f>SUM(H103:H106)</f>
        <v>60510.828659855302</v>
      </c>
      <c r="I108" s="38">
        <f>SUM(I103:I106)</f>
        <v>62832.495642644215</v>
      </c>
      <c r="J108" s="38">
        <f>SUM(J103:J106)</f>
        <v>65268.134095926122</v>
      </c>
    </row>
    <row r="109" spans="2:10" x14ac:dyDescent="0.25">
      <c r="B109" s="10" t="s">
        <v>153</v>
      </c>
    </row>
    <row r="110" spans="2:10" x14ac:dyDescent="0.25">
      <c r="B110" s="5" t="s">
        <v>154</v>
      </c>
      <c r="C110" s="30">
        <v>1698</v>
      </c>
      <c r="D110" s="30">
        <v>1031</v>
      </c>
      <c r="E110" s="30">
        <v>745</v>
      </c>
      <c r="F110" s="30">
        <v>745</v>
      </c>
      <c r="G110" s="30">
        <v>745</v>
      </c>
      <c r="H110" s="30">
        <v>745</v>
      </c>
      <c r="I110" s="30">
        <v>745</v>
      </c>
      <c r="J110" s="30">
        <v>745</v>
      </c>
    </row>
    <row r="111" spans="2:10" x14ac:dyDescent="0.25">
      <c r="B111" s="5" t="s">
        <v>161</v>
      </c>
      <c r="C111" s="30">
        <v>0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</row>
    <row r="112" spans="2:10" x14ac:dyDescent="0.25">
      <c r="B112" s="5" t="s">
        <v>155</v>
      </c>
      <c r="C112" s="30">
        <v>-140</v>
      </c>
      <c r="D112" s="30">
        <v>-104</v>
      </c>
      <c r="E112" s="30">
        <v>-124</v>
      </c>
      <c r="F112" s="30">
        <v>-124</v>
      </c>
      <c r="G112" s="30">
        <v>-124</v>
      </c>
      <c r="H112" s="30">
        <v>-124</v>
      </c>
      <c r="I112" s="30">
        <v>-124</v>
      </c>
      <c r="J112" s="30">
        <v>-124</v>
      </c>
    </row>
    <row r="113" spans="2:10" x14ac:dyDescent="0.25">
      <c r="B113" s="5" t="s">
        <v>156</v>
      </c>
      <c r="C113" s="30">
        <v>20452</v>
      </c>
      <c r="D113" s="30">
        <v>21229</v>
      </c>
      <c r="E113" s="30">
        <v>21934</v>
      </c>
      <c r="F113" s="30">
        <v>21934</v>
      </c>
      <c r="G113" s="30">
        <v>21934</v>
      </c>
      <c r="H113" s="30">
        <v>21934</v>
      </c>
      <c r="I113" s="30">
        <v>21934</v>
      </c>
      <c r="J113" s="30">
        <v>21934</v>
      </c>
    </row>
    <row r="114" spans="2:10" x14ac:dyDescent="0.25">
      <c r="B114" s="5" t="s">
        <v>157</v>
      </c>
      <c r="C114" s="30">
        <v>18040</v>
      </c>
      <c r="D114" s="30">
        <v>17289</v>
      </c>
      <c r="E114" s="30">
        <v>15106</v>
      </c>
      <c r="F114" s="30">
        <f>E114+F65+F152+F150</f>
        <v>14727.436388750586</v>
      </c>
      <c r="G114" s="30">
        <f t="shared" ref="G114:J114" si="17">F114+G65+G152+G150</f>
        <v>13386.89021279358</v>
      </c>
      <c r="H114" s="30">
        <f t="shared" si="17"/>
        <v>11908.54971320292</v>
      </c>
      <c r="I114" s="30">
        <f t="shared" si="17"/>
        <v>10719.258669381139</v>
      </c>
      <c r="J114" s="30">
        <f t="shared" si="17"/>
        <v>8892.3350740917231</v>
      </c>
    </row>
    <row r="115" spans="2:10" x14ac:dyDescent="0.25">
      <c r="B115" s="49" t="s">
        <v>158</v>
      </c>
      <c r="C115" s="30">
        <v>-1317</v>
      </c>
      <c r="D115" s="30">
        <v>-308</v>
      </c>
      <c r="E115" s="30">
        <v>248</v>
      </c>
      <c r="F115" s="30">
        <v>248</v>
      </c>
      <c r="G115" s="30">
        <v>248</v>
      </c>
      <c r="H115" s="30">
        <v>248</v>
      </c>
      <c r="I115" s="30">
        <v>248</v>
      </c>
      <c r="J115" s="30">
        <v>248</v>
      </c>
    </row>
    <row r="116" spans="2:10" x14ac:dyDescent="0.25">
      <c r="B116" s="4" t="s">
        <v>159</v>
      </c>
      <c r="C116" s="30">
        <v>38733</v>
      </c>
      <c r="D116" s="30">
        <v>39137</v>
      </c>
      <c r="E116" s="30">
        <v>37909</v>
      </c>
      <c r="F116" s="30">
        <f>SUM(F110:F115)</f>
        <v>37530.43638875059</v>
      </c>
      <c r="G116" s="30">
        <f t="shared" ref="G116:J116" si="18">SUM(G110:G115)</f>
        <v>36189.89021279358</v>
      </c>
      <c r="H116" s="30">
        <f t="shared" si="18"/>
        <v>34711.54971320292</v>
      </c>
      <c r="I116" s="30">
        <f t="shared" si="18"/>
        <v>33522.258669381139</v>
      </c>
      <c r="J116" s="30">
        <f t="shared" si="18"/>
        <v>31695.335074091723</v>
      </c>
    </row>
    <row r="117" spans="2:10" ht="15.75" thickBot="1" x14ac:dyDescent="0.3">
      <c r="B117" s="48" t="s">
        <v>160</v>
      </c>
      <c r="C117" s="36">
        <v>90499</v>
      </c>
      <c r="D117" s="36">
        <v>94511</v>
      </c>
      <c r="E117" s="36">
        <v>99627</v>
      </c>
      <c r="F117" s="36">
        <f>F108+F116</f>
        <v>93785.43638875059</v>
      </c>
      <c r="G117" s="36">
        <f t="shared" ref="G117:J117" si="19">G108+G116</f>
        <v>94540.73685040581</v>
      </c>
      <c r="H117" s="36">
        <f t="shared" si="19"/>
        <v>95222.378373058222</v>
      </c>
      <c r="I117" s="36">
        <f t="shared" si="19"/>
        <v>96354.754312025354</v>
      </c>
      <c r="J117" s="36">
        <f t="shared" si="19"/>
        <v>96963.469170017837</v>
      </c>
    </row>
    <row r="119" spans="2:10" x14ac:dyDescent="0.25">
      <c r="B119" s="1" t="s">
        <v>9</v>
      </c>
      <c r="C119" s="3" t="s">
        <v>1</v>
      </c>
      <c r="D119" s="3" t="s">
        <v>2</v>
      </c>
      <c r="E119" s="3" t="s">
        <v>3</v>
      </c>
      <c r="F119" s="2" t="s">
        <v>4</v>
      </c>
      <c r="G119" s="2" t="s">
        <v>5</v>
      </c>
      <c r="H119" s="2" t="s">
        <v>6</v>
      </c>
      <c r="I119" s="2" t="s">
        <v>7</v>
      </c>
      <c r="J119" s="2" t="s">
        <v>8</v>
      </c>
    </row>
    <row r="120" spans="2:10" x14ac:dyDescent="0.25">
      <c r="B120" s="10" t="s">
        <v>82</v>
      </c>
    </row>
    <row r="121" spans="2:10" x14ac:dyDescent="0.25">
      <c r="B121" s="8" t="s">
        <v>56</v>
      </c>
      <c r="C121" s="37">
        <v>17273</v>
      </c>
      <c r="D121" s="37">
        <v>19743</v>
      </c>
      <c r="E121" s="37">
        <v>20058</v>
      </c>
      <c r="F121" s="37">
        <f>F65</f>
        <v>23434.717500000002</v>
      </c>
      <c r="G121" s="37">
        <f>G65</f>
        <v>25762.221608827469</v>
      </c>
      <c r="H121" s="37">
        <f>H65</f>
        <v>28302.028297696219</v>
      </c>
      <c r="I121" s="37">
        <f>I65</f>
        <v>31299.13154101203</v>
      </c>
      <c r="J121" s="37">
        <f>J65</f>
        <v>34407.961367862845</v>
      </c>
    </row>
    <row r="122" spans="2:10" x14ac:dyDescent="0.25">
      <c r="B122" s="10" t="s">
        <v>83</v>
      </c>
    </row>
    <row r="123" spans="2:10" x14ac:dyDescent="0.25">
      <c r="B123" s="9" t="s">
        <v>37</v>
      </c>
      <c r="C123" s="30">
        <v>12297</v>
      </c>
      <c r="D123" s="30">
        <v>13764</v>
      </c>
      <c r="E123" s="30">
        <v>15751</v>
      </c>
      <c r="F123" s="30">
        <f>F42*F48</f>
        <v>16008.61313115642</v>
      </c>
      <c r="G123" s="30">
        <f>G42*G48</f>
        <v>17927.917184310609</v>
      </c>
      <c r="H123" s="30">
        <f>H42*H48</f>
        <v>19736.929399241762</v>
      </c>
      <c r="I123" s="30">
        <f>I42*I48</f>
        <v>21728.328291661303</v>
      </c>
      <c r="J123" s="30">
        <f>J42*J48</f>
        <v>23856.824657984234</v>
      </c>
    </row>
    <row r="124" spans="2:10" x14ac:dyDescent="0.25">
      <c r="B124" s="9" t="s">
        <v>57</v>
      </c>
      <c r="C124" s="30">
        <v>765</v>
      </c>
      <c r="D124" s="30">
        <v>850</v>
      </c>
      <c r="E124" s="30">
        <v>897</v>
      </c>
      <c r="F124" s="30">
        <f>F121*F39</f>
        <v>515.56378500000005</v>
      </c>
      <c r="G124" s="30">
        <f>G121*G39</f>
        <v>566.76887539420431</v>
      </c>
      <c r="H124" s="30">
        <f>H121*H39</f>
        <v>594.34259425162065</v>
      </c>
      <c r="I124" s="30">
        <f>I121*I39</f>
        <v>657.28176236125262</v>
      </c>
      <c r="J124" s="30">
        <f>J121*J39</f>
        <v>722.56718872511976</v>
      </c>
    </row>
    <row r="125" spans="2:10" x14ac:dyDescent="0.25">
      <c r="B125" s="9" t="s">
        <v>19</v>
      </c>
      <c r="C125" s="30">
        <v>943</v>
      </c>
      <c r="D125" s="30">
        <v>1034</v>
      </c>
      <c r="E125" s="30">
        <v>1220</v>
      </c>
      <c r="F125" s="30">
        <f>F54</f>
        <v>1296</v>
      </c>
      <c r="G125" s="30">
        <f>G54</f>
        <v>1422.8505701833817</v>
      </c>
      <c r="H125" s="30">
        <f>H54</f>
        <v>1562.2899260613533</v>
      </c>
      <c r="I125" s="30">
        <f>I54</f>
        <v>1658.2145275215205</v>
      </c>
      <c r="J125" s="30">
        <f>J54</f>
        <v>1820.6524081093235</v>
      </c>
    </row>
    <row r="126" spans="2:10" x14ac:dyDescent="0.25">
      <c r="B126" s="9" t="s">
        <v>58</v>
      </c>
      <c r="C126" s="30">
        <v>-483</v>
      </c>
      <c r="D126" s="30">
        <v>-100</v>
      </c>
      <c r="E126" s="30">
        <v>152</v>
      </c>
      <c r="F126" s="30">
        <v>152</v>
      </c>
      <c r="G126" s="30">
        <v>152</v>
      </c>
      <c r="H126" s="30">
        <v>152</v>
      </c>
      <c r="I126" s="30">
        <v>152</v>
      </c>
      <c r="J126" s="30">
        <v>152</v>
      </c>
    </row>
    <row r="127" spans="2:10" x14ac:dyDescent="0.25">
      <c r="B127" s="9" t="s">
        <v>59</v>
      </c>
      <c r="C127" s="30">
        <v>-136</v>
      </c>
      <c r="D127" s="30">
        <v>-139</v>
      </c>
      <c r="E127" s="30">
        <v>-28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</row>
    <row r="128" spans="2:10" x14ac:dyDescent="0.25">
      <c r="B128" s="9" t="s">
        <v>60</v>
      </c>
      <c r="C128" s="30">
        <v>104</v>
      </c>
      <c r="D128" s="30">
        <v>94</v>
      </c>
      <c r="E128" s="30">
        <v>87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</row>
    <row r="129" spans="2:10" x14ac:dyDescent="0.25">
      <c r="B129" s="9" t="s">
        <v>61</v>
      </c>
      <c r="C129" s="30">
        <v>14</v>
      </c>
      <c r="D129" s="30">
        <v>136</v>
      </c>
      <c r="E129" s="30">
        <v>94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</row>
    <row r="130" spans="2:10" x14ac:dyDescent="0.25">
      <c r="B130" s="18" t="s">
        <v>62</v>
      </c>
      <c r="C130" s="30"/>
      <c r="D130" s="30"/>
      <c r="E130" s="30"/>
      <c r="F130" s="30"/>
      <c r="G130" s="30"/>
      <c r="H130" s="30"/>
      <c r="I130" s="30"/>
      <c r="J130" s="30"/>
    </row>
    <row r="131" spans="2:10" x14ac:dyDescent="0.25">
      <c r="B131" s="9" t="s">
        <v>32</v>
      </c>
      <c r="C131" s="30">
        <v>-160</v>
      </c>
      <c r="D131" s="30">
        <v>-2175</v>
      </c>
      <c r="E131" s="30">
        <v>374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</row>
    <row r="132" spans="2:10" x14ac:dyDescent="0.25">
      <c r="B132" s="9" t="s">
        <v>30</v>
      </c>
      <c r="C132" s="30">
        <v>-250</v>
      </c>
      <c r="D132" s="30">
        <v>-237</v>
      </c>
      <c r="E132" s="30">
        <v>-542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</row>
    <row r="133" spans="2:10" x14ac:dyDescent="0.25">
      <c r="B133" s="9" t="s">
        <v>37</v>
      </c>
      <c r="C133" s="30">
        <v>-11014</v>
      </c>
      <c r="D133" s="30">
        <v>-14067</v>
      </c>
      <c r="E133" s="30">
        <v>-15314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</row>
    <row r="134" spans="2:10" x14ac:dyDescent="0.25">
      <c r="B134" s="9" t="s">
        <v>41</v>
      </c>
      <c r="C134" s="30">
        <v>-24</v>
      </c>
      <c r="D134" s="30">
        <v>-199</v>
      </c>
      <c r="E134" s="30">
        <v>160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</row>
    <row r="135" spans="2:10" x14ac:dyDescent="0.25">
      <c r="B135" s="9" t="s">
        <v>43</v>
      </c>
      <c r="C135" s="30">
        <v>34</v>
      </c>
      <c r="D135" s="30">
        <v>109</v>
      </c>
      <c r="E135" s="30">
        <v>67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</row>
    <row r="136" spans="2:10" x14ac:dyDescent="0.25">
      <c r="B136" s="9" t="s">
        <v>44</v>
      </c>
      <c r="C136" s="30">
        <v>-194</v>
      </c>
      <c r="D136" s="30">
        <v>1841</v>
      </c>
      <c r="E136" s="30">
        <v>-847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</row>
    <row r="137" spans="2:10" x14ac:dyDescent="0.25">
      <c r="B137" s="9" t="s">
        <v>63</v>
      </c>
      <c r="C137" s="30">
        <v>1291</v>
      </c>
      <c r="D137" s="30">
        <v>-676</v>
      </c>
      <c r="E137" s="30">
        <v>-373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</row>
    <row r="138" spans="2:10" x14ac:dyDescent="0.25">
      <c r="B138" s="9" t="s">
        <v>48</v>
      </c>
      <c r="C138" s="30">
        <v>295</v>
      </c>
      <c r="D138" s="30">
        <v>-28</v>
      </c>
      <c r="E138" s="30">
        <v>1303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</row>
    <row r="139" spans="2:10" x14ac:dyDescent="0.25">
      <c r="B139" s="11" t="s">
        <v>86</v>
      </c>
      <c r="C139" s="31">
        <v>20755</v>
      </c>
      <c r="D139" s="31">
        <v>19950</v>
      </c>
      <c r="E139" s="31">
        <v>23059</v>
      </c>
      <c r="F139" s="31">
        <f>F121+SUM(F123:F129)+F48*F40</f>
        <v>41406.894416156421</v>
      </c>
      <c r="G139" s="31">
        <f>G121+SUM(G123:G129)+G48*G40</f>
        <v>45831.758238715665</v>
      </c>
      <c r="H139" s="31">
        <f>H121+SUM(H123:H129)+H48*H40</f>
        <v>50347.590217250952</v>
      </c>
      <c r="I139" s="31">
        <f>I121+SUM(I123:I129)+I48*I40</f>
        <v>55494.956122556105</v>
      </c>
      <c r="J139" s="31">
        <f>J121+SUM(J123:J129)+J48*J40</f>
        <v>60960.005622681521</v>
      </c>
    </row>
    <row r="140" spans="2:10" x14ac:dyDescent="0.25">
      <c r="B140" s="10" t="s">
        <v>84</v>
      </c>
    </row>
    <row r="141" spans="2:10" x14ac:dyDescent="0.25">
      <c r="B141" s="9" t="s">
        <v>64</v>
      </c>
      <c r="C141" s="30">
        <v>-1059</v>
      </c>
      <c r="D141" s="30">
        <v>-1257</v>
      </c>
      <c r="E141" s="30">
        <v>-1482</v>
      </c>
      <c r="F141" s="30">
        <f>-F121*F38</f>
        <v>-867.0845475000001</v>
      </c>
      <c r="G141" s="30">
        <f>-G121*G38</f>
        <v>-953.20219952661625</v>
      </c>
      <c r="H141" s="30">
        <f>-H121*H38</f>
        <v>-1047.1750470147601</v>
      </c>
      <c r="I141" s="30">
        <f>-I121*I38</f>
        <v>-1189.366998558457</v>
      </c>
      <c r="J141" s="30">
        <f>-J121*J38</f>
        <v>-1307.5025319787881</v>
      </c>
    </row>
    <row r="142" spans="2:10" x14ac:dyDescent="0.25">
      <c r="B142" s="9" t="s">
        <v>65</v>
      </c>
      <c r="C142" s="30">
        <v>-4363</v>
      </c>
      <c r="D142" s="30">
        <v>-4443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</row>
    <row r="143" spans="2:10" x14ac:dyDescent="0.25">
      <c r="B143" s="9" t="s">
        <v>66</v>
      </c>
      <c r="C143" s="30">
        <v>3160</v>
      </c>
      <c r="D143" s="30">
        <v>5013</v>
      </c>
      <c r="E143" s="30">
        <v>3024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</row>
    <row r="144" spans="2:10" x14ac:dyDescent="0.25">
      <c r="B144" s="9" t="s">
        <v>67</v>
      </c>
      <c r="C144" s="30">
        <v>0</v>
      </c>
      <c r="D144" s="30">
        <v>-915</v>
      </c>
      <c r="E144" s="30">
        <v>-887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</row>
    <row r="145" spans="2:10" x14ac:dyDescent="0.25">
      <c r="B145" s="9" t="s">
        <v>68</v>
      </c>
      <c r="C145" s="30">
        <v>-121</v>
      </c>
      <c r="D145" s="30">
        <v>-231</v>
      </c>
      <c r="E145" s="30">
        <v>-68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</row>
    <row r="146" spans="2:10" x14ac:dyDescent="0.25">
      <c r="B146" s="9" t="s">
        <v>69</v>
      </c>
      <c r="C146" s="30">
        <v>402</v>
      </c>
      <c r="D146" s="30">
        <v>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</row>
    <row r="147" spans="2:10" x14ac:dyDescent="0.25">
      <c r="B147" s="9" t="s">
        <v>70</v>
      </c>
      <c r="C147" s="30">
        <v>-25</v>
      </c>
      <c r="D147" s="30">
        <v>-93</v>
      </c>
      <c r="E147" s="30">
        <v>121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</row>
    <row r="148" spans="2:10" x14ac:dyDescent="0.25">
      <c r="B148" s="11" t="s">
        <v>85</v>
      </c>
      <c r="C148" s="32">
        <v>-2006</v>
      </c>
      <c r="D148" s="32">
        <v>-1926</v>
      </c>
      <c r="E148" s="32">
        <v>708</v>
      </c>
      <c r="F148" s="32">
        <f>SUM(F141:F147)</f>
        <v>-867.0845475000001</v>
      </c>
      <c r="G148" s="32">
        <f t="shared" ref="G148:J148" si="20">SUM(G141:G147)</f>
        <v>-953.20219952661625</v>
      </c>
      <c r="H148" s="32">
        <f t="shared" si="20"/>
        <v>-1047.1750470147601</v>
      </c>
      <c r="I148" s="32">
        <f t="shared" si="20"/>
        <v>-1189.366998558457</v>
      </c>
      <c r="J148" s="32">
        <f t="shared" si="20"/>
        <v>-1307.5025319787881</v>
      </c>
    </row>
    <row r="149" spans="2:10" x14ac:dyDescent="0.25">
      <c r="B149" s="10" t="s">
        <v>87</v>
      </c>
    </row>
    <row r="150" spans="2:10" x14ac:dyDescent="0.25">
      <c r="B150" s="9" t="s">
        <v>71</v>
      </c>
      <c r="C150" s="30">
        <v>-12101</v>
      </c>
      <c r="D150" s="30">
        <v>-16713</v>
      </c>
      <c r="E150" s="30">
        <v>-18316</v>
      </c>
      <c r="F150" s="30">
        <f>-F43*F48</f>
        <v>-18629.281111249413</v>
      </c>
      <c r="G150" s="30">
        <f>-G43*G48</f>
        <v>-21411.365504050947</v>
      </c>
      <c r="H150" s="30">
        <f>-H43*H48</f>
        <v>-23270.82743869791</v>
      </c>
      <c r="I150" s="30">
        <f>-I43*I48</f>
        <v>-25340.946173103119</v>
      </c>
      <c r="J150" s="30">
        <f>-J43*J48</f>
        <v>-28073.339685420811</v>
      </c>
    </row>
    <row r="151" spans="2:10" x14ac:dyDescent="0.25">
      <c r="B151" s="9" t="s">
        <v>72</v>
      </c>
      <c r="C151" s="30">
        <v>-2250</v>
      </c>
      <c r="D151" s="30">
        <v>0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</row>
    <row r="152" spans="2:10" x14ac:dyDescent="0.25">
      <c r="B152" s="9" t="s">
        <v>73</v>
      </c>
      <c r="C152" s="30">
        <v>-3751</v>
      </c>
      <c r="D152" s="30">
        <v>-4217</v>
      </c>
      <c r="E152" s="30">
        <v>-4634</v>
      </c>
      <c r="F152" s="30">
        <f>-F41*F48</f>
        <v>-5184</v>
      </c>
      <c r="G152" s="30">
        <f>-G41*G48</f>
        <v>-5691.4022807335268</v>
      </c>
      <c r="H152" s="30">
        <f>-H41*H48</f>
        <v>-6509.5413585889719</v>
      </c>
      <c r="I152" s="30">
        <f>-I41*I48</f>
        <v>-7147.4764117306913</v>
      </c>
      <c r="J152" s="30">
        <f>-J41*J48</f>
        <v>-8161.5452777314495</v>
      </c>
    </row>
    <row r="153" spans="2:10" x14ac:dyDescent="0.25">
      <c r="B153" s="9" t="s">
        <v>74</v>
      </c>
      <c r="C153" s="30">
        <v>0</v>
      </c>
      <c r="D153" s="30">
        <v>0</v>
      </c>
      <c r="E153" s="30">
        <v>3924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</row>
    <row r="154" spans="2:10" x14ac:dyDescent="0.25">
      <c r="B154" s="9" t="s">
        <v>75</v>
      </c>
      <c r="C154" s="30">
        <v>260</v>
      </c>
      <c r="D154" s="30">
        <v>335</v>
      </c>
      <c r="E154" s="30">
        <v>396</v>
      </c>
      <c r="F154" s="30">
        <f>F48*F44</f>
        <v>432</v>
      </c>
      <c r="G154" s="30">
        <f>G48*G44</f>
        <v>474.28352339446059</v>
      </c>
      <c r="H154" s="30">
        <f>H48*H44</f>
        <v>520.76330868711773</v>
      </c>
      <c r="I154" s="30">
        <f>I48*I44</f>
        <v>571.79811293845535</v>
      </c>
      <c r="J154" s="30">
        <f>J48*J44</f>
        <v>627.81117521011151</v>
      </c>
    </row>
    <row r="155" spans="2:10" x14ac:dyDescent="0.25">
      <c r="B155" s="9" t="s">
        <v>76</v>
      </c>
      <c r="C155" s="30">
        <v>-130</v>
      </c>
      <c r="D155" s="30">
        <v>-208</v>
      </c>
      <c r="E155" s="30">
        <v>-281</v>
      </c>
      <c r="F155" s="30">
        <f>-F45*F48</f>
        <v>-302.40000000000003</v>
      </c>
      <c r="G155" s="30">
        <f>-G45*G48</f>
        <v>-331.99846637612239</v>
      </c>
      <c r="H155" s="30">
        <f>-H45*H48</f>
        <v>-416.61064694969423</v>
      </c>
      <c r="I155" s="30">
        <f>-I45*I48</f>
        <v>-457.43849035076425</v>
      </c>
      <c r="J155" s="30">
        <f>-J45*J48</f>
        <v>-502.24894016808918</v>
      </c>
    </row>
    <row r="156" spans="2:10" x14ac:dyDescent="0.25">
      <c r="B156" s="9" t="s">
        <v>77</v>
      </c>
      <c r="C156" s="30">
        <v>200</v>
      </c>
      <c r="D156" s="30">
        <v>170</v>
      </c>
      <c r="E156" s="30">
        <v>-52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</row>
    <row r="157" spans="2:10" x14ac:dyDescent="0.25">
      <c r="B157" s="9" t="s">
        <v>78</v>
      </c>
      <c r="C157" s="30">
        <v>-17772</v>
      </c>
      <c r="D157" s="30">
        <v>-20633</v>
      </c>
      <c r="E157" s="30">
        <v>-18963</v>
      </c>
      <c r="F157" s="30">
        <f>SUM(F150:F156)</f>
        <v>-23683.681111249414</v>
      </c>
      <c r="G157" s="30">
        <f t="shared" ref="G157:J157" si="21">SUM(G150:G156)</f>
        <v>-26960.482727766135</v>
      </c>
      <c r="H157" s="30">
        <f t="shared" si="21"/>
        <v>-29676.216135549461</v>
      </c>
      <c r="I157" s="30">
        <f t="shared" si="21"/>
        <v>-32374.062962246117</v>
      </c>
      <c r="J157" s="30">
        <f t="shared" si="21"/>
        <v>-36109.322728110237</v>
      </c>
    </row>
    <row r="158" spans="2:10" x14ac:dyDescent="0.25">
      <c r="B158" s="9" t="s">
        <v>91</v>
      </c>
      <c r="C158" s="30">
        <v>636</v>
      </c>
      <c r="D158" s="30">
        <v>382</v>
      </c>
      <c r="E158" s="30">
        <v>420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</row>
    <row r="159" spans="2:10" x14ac:dyDescent="0.25">
      <c r="B159" s="9" t="s">
        <v>92</v>
      </c>
      <c r="C159" s="30">
        <v>1613</v>
      </c>
      <c r="D159" s="30">
        <v>-2227</v>
      </c>
      <c r="E159" s="30">
        <v>5224</v>
      </c>
      <c r="F159" s="30">
        <f>F139+F148+F157+F158</f>
        <v>16856.128757407005</v>
      </c>
      <c r="G159" s="30">
        <f t="shared" ref="G159:J159" si="22">G139+G148+G157+G158</f>
        <v>17918.073311422912</v>
      </c>
      <c r="H159" s="30">
        <f t="shared" si="22"/>
        <v>19624.199034686731</v>
      </c>
      <c r="I159" s="30">
        <f t="shared" si="22"/>
        <v>21931.526161751532</v>
      </c>
      <c r="J159" s="30">
        <f t="shared" si="22"/>
        <v>23543.180362592495</v>
      </c>
    </row>
    <row r="160" spans="2:10" x14ac:dyDescent="0.25">
      <c r="B160" s="17" t="s">
        <v>89</v>
      </c>
      <c r="C160" s="30">
        <v>20377</v>
      </c>
      <c r="D160" s="30">
        <v>21990</v>
      </c>
      <c r="E160" s="30">
        <v>19763</v>
      </c>
      <c r="F160" s="30">
        <f>E161</f>
        <v>24987</v>
      </c>
      <c r="G160" s="30">
        <f>F161</f>
        <v>41843.128757407001</v>
      </c>
      <c r="H160" s="30">
        <f t="shared" ref="H160:J160" si="23">G161</f>
        <v>59761.202068829909</v>
      </c>
      <c r="I160" s="30">
        <f t="shared" si="23"/>
        <v>79385.401103516633</v>
      </c>
      <c r="J160" s="30">
        <f t="shared" si="23"/>
        <v>101316.92726526817</v>
      </c>
    </row>
    <row r="161" spans="2:10" x14ac:dyDescent="0.25">
      <c r="B161" s="19" t="s">
        <v>88</v>
      </c>
      <c r="C161" s="38">
        <v>21990</v>
      </c>
      <c r="D161" s="38">
        <v>19763</v>
      </c>
      <c r="E161" s="38">
        <v>24987</v>
      </c>
      <c r="F161" s="38">
        <f>F160+F159</f>
        <v>41843.128757407001</v>
      </c>
      <c r="G161" s="38">
        <f t="shared" ref="G161:J161" si="24">G160+G159</f>
        <v>59761.202068829909</v>
      </c>
      <c r="H161" s="38">
        <f t="shared" si="24"/>
        <v>79385.401103516633</v>
      </c>
      <c r="I161" s="38">
        <f t="shared" si="24"/>
        <v>101316.92726526817</v>
      </c>
      <c r="J161" s="38">
        <f t="shared" si="24"/>
        <v>124860.10762786066</v>
      </c>
    </row>
    <row r="162" spans="2:10" x14ac:dyDescent="0.25">
      <c r="B162" s="10" t="s">
        <v>90</v>
      </c>
    </row>
    <row r="163" spans="2:10" x14ac:dyDescent="0.25">
      <c r="B163" s="9" t="s">
        <v>79</v>
      </c>
      <c r="C163" s="37">
        <v>3433</v>
      </c>
      <c r="D163" s="37">
        <v>5775</v>
      </c>
      <c r="E163" s="37">
        <v>4541</v>
      </c>
      <c r="F163" s="37">
        <f>F64</f>
        <v>5497.0325000000012</v>
      </c>
      <c r="G163" s="37">
        <f t="shared" ref="G163:J163" si="25">G64</f>
        <v>6042.9902539224931</v>
      </c>
      <c r="H163" s="37">
        <f t="shared" si="25"/>
        <v>6638.7473784719532</v>
      </c>
      <c r="I163" s="37">
        <f t="shared" si="25"/>
        <v>7341.7715960398582</v>
      </c>
      <c r="J163" s="37">
        <f t="shared" si="25"/>
        <v>8071.0032838196794</v>
      </c>
    </row>
    <row r="164" spans="2:10" x14ac:dyDescent="0.25">
      <c r="B164" s="9" t="s">
        <v>80</v>
      </c>
      <c r="C164" s="37">
        <v>617</v>
      </c>
      <c r="D164" s="37">
        <v>583</v>
      </c>
      <c r="E164" s="37">
        <v>587</v>
      </c>
      <c r="F164" s="37">
        <f>ABS(F60)</f>
        <v>589</v>
      </c>
      <c r="G164" s="37">
        <f t="shared" ref="G164:J164" si="26">ABS(G60)</f>
        <v>589</v>
      </c>
      <c r="H164" s="37">
        <f t="shared" si="26"/>
        <v>589</v>
      </c>
      <c r="I164" s="37">
        <f t="shared" si="26"/>
        <v>589</v>
      </c>
      <c r="J164" s="37">
        <f t="shared" si="26"/>
        <v>589</v>
      </c>
    </row>
    <row r="165" spans="2:10" ht="15.75" thickBot="1" x14ac:dyDescent="0.3">
      <c r="B165" s="20" t="s">
        <v>81</v>
      </c>
      <c r="C165" s="36">
        <v>96</v>
      </c>
      <c r="D165" s="36">
        <v>52</v>
      </c>
      <c r="E165" s="36">
        <v>59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7" spans="2:10" x14ac:dyDescent="0.25">
      <c r="B167" s="1" t="s">
        <v>138</v>
      </c>
      <c r="C167" s="3" t="s">
        <v>1</v>
      </c>
      <c r="D167" s="3" t="s">
        <v>2</v>
      </c>
      <c r="E167" s="3" t="s">
        <v>3</v>
      </c>
      <c r="F167" s="2" t="s">
        <v>4</v>
      </c>
      <c r="G167" s="2" t="s">
        <v>5</v>
      </c>
      <c r="H167" s="2" t="s">
        <v>6</v>
      </c>
      <c r="I167" s="2" t="s">
        <v>7</v>
      </c>
      <c r="J167" s="2" t="s">
        <v>8</v>
      </c>
    </row>
    <row r="168" spans="2:10" x14ac:dyDescent="0.25">
      <c r="B168" s="42" t="s">
        <v>141</v>
      </c>
      <c r="C168" s="40"/>
      <c r="D168" s="40"/>
      <c r="E168" s="40"/>
      <c r="F168" s="41"/>
      <c r="G168" s="41"/>
      <c r="H168" s="41"/>
      <c r="I168" s="41"/>
      <c r="J168" s="41"/>
    </row>
    <row r="169" spans="2:10" x14ac:dyDescent="0.25">
      <c r="B169" s="43" t="s">
        <v>142</v>
      </c>
      <c r="C169" s="40"/>
      <c r="D169" s="40"/>
      <c r="E169" s="40"/>
      <c r="F169" s="41"/>
      <c r="G169" s="41"/>
      <c r="H169" s="41"/>
      <c r="I169" s="41"/>
      <c r="J169" s="41"/>
    </row>
    <row r="170" spans="2:10" x14ac:dyDescent="0.25">
      <c r="B170" s="43" t="s">
        <v>143</v>
      </c>
      <c r="C170" s="40"/>
      <c r="D170" s="40"/>
      <c r="E170" s="40"/>
      <c r="F170" s="41"/>
      <c r="G170" s="41"/>
      <c r="H170" s="41"/>
      <c r="I170" s="41"/>
      <c r="J170" s="41"/>
    </row>
    <row r="171" spans="2:10" x14ac:dyDescent="0.25">
      <c r="B171" s="43" t="s">
        <v>139</v>
      </c>
      <c r="C171" s="40"/>
      <c r="D171" s="40"/>
      <c r="E171" s="40"/>
      <c r="F171" s="41"/>
      <c r="G171" s="41"/>
      <c r="H171" s="41"/>
      <c r="I171" s="41"/>
      <c r="J171" s="41"/>
    </row>
    <row r="172" spans="2:10" x14ac:dyDescent="0.25">
      <c r="B172" s="43" t="s">
        <v>144</v>
      </c>
      <c r="C172" s="40"/>
      <c r="D172" s="40"/>
      <c r="E172" s="40"/>
      <c r="F172" s="41"/>
      <c r="G172" s="41"/>
      <c r="H172" s="41"/>
      <c r="I172" s="41"/>
      <c r="J172" s="4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C85B-DDE0-4FF7-975F-35F1DC757663}">
  <dimension ref="B1:J8"/>
  <sheetViews>
    <sheetView showGridLines="0" workbookViewId="0">
      <selection activeCell="J5" sqref="J5"/>
    </sheetView>
  </sheetViews>
  <sheetFormatPr defaultRowHeight="15" x14ac:dyDescent="0.25"/>
  <cols>
    <col min="1" max="1" width="2.7109375" customWidth="1"/>
    <col min="2" max="2" width="28.140625" bestFit="1" customWidth="1"/>
  </cols>
  <sheetData>
    <row r="1" spans="2:10" x14ac:dyDescent="0.25">
      <c r="B1" s="12" t="s">
        <v>118</v>
      </c>
      <c r="C1" s="13" t="s">
        <v>10</v>
      </c>
      <c r="D1" s="14"/>
      <c r="E1" s="14"/>
      <c r="F1" s="14"/>
      <c r="G1" s="14"/>
      <c r="H1" s="14"/>
      <c r="I1" s="14"/>
    </row>
    <row r="2" spans="2:10" x14ac:dyDescent="0.25">
      <c r="B2" s="1" t="s">
        <v>117</v>
      </c>
      <c r="C2" s="3">
        <v>2019</v>
      </c>
      <c r="D2" s="3">
        <v>2020</v>
      </c>
      <c r="E2" s="3">
        <v>2021</v>
      </c>
      <c r="F2" s="3">
        <v>2022</v>
      </c>
      <c r="G2" s="3">
        <v>2023</v>
      </c>
      <c r="H2" s="3">
        <v>2024</v>
      </c>
      <c r="I2" s="3">
        <v>2025</v>
      </c>
    </row>
    <row r="3" spans="2:10" x14ac:dyDescent="0.25">
      <c r="B3" s="17" t="s">
        <v>116</v>
      </c>
      <c r="I3" s="27">
        <v>17539</v>
      </c>
    </row>
    <row r="4" spans="2:10" x14ac:dyDescent="0.25">
      <c r="B4" s="17" t="s">
        <v>115</v>
      </c>
      <c r="I4" s="27">
        <v>19993</v>
      </c>
    </row>
    <row r="5" spans="2:10" x14ac:dyDescent="0.25">
      <c r="B5" s="17" t="s">
        <v>114</v>
      </c>
      <c r="I5" s="27">
        <v>14166</v>
      </c>
      <c r="J5" s="21">
        <f>I5/I8</f>
        <v>0.35415000000000002</v>
      </c>
    </row>
    <row r="6" spans="2:10" x14ac:dyDescent="0.25">
      <c r="B6" s="17" t="s">
        <v>113</v>
      </c>
      <c r="I6" s="27">
        <v>4053</v>
      </c>
    </row>
    <row r="7" spans="2:10" x14ac:dyDescent="0.25">
      <c r="B7" s="17" t="s">
        <v>37</v>
      </c>
      <c r="I7" s="27">
        <v>-15751</v>
      </c>
    </row>
    <row r="8" spans="2:10" x14ac:dyDescent="0.25">
      <c r="B8" s="17" t="s">
        <v>103</v>
      </c>
      <c r="I8" s="27">
        <f>SUM(I3:I7)</f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More Historicals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Ruddock</dc:creator>
  <cp:lastModifiedBy>Donald Ruddock</cp:lastModifiedBy>
  <dcterms:created xsi:type="dcterms:W3CDTF">2026-04-04T12:07:59Z</dcterms:created>
  <dcterms:modified xsi:type="dcterms:W3CDTF">2026-05-17T00:52:34Z</dcterms:modified>
</cp:coreProperties>
</file>