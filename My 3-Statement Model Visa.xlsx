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hra\OneDrive\Desktop\3-Statement Model Visa\"/>
    </mc:Choice>
  </mc:AlternateContent>
  <xr:revisionPtr revIDLastSave="0" documentId="13_ncr:1_{073A34F6-F067-4438-B561-88ACB140DCED}" xr6:coauthVersionLast="47" xr6:coauthVersionMax="47" xr10:uidLastSave="{00000000-0000-0000-0000-000000000000}"/>
  <bookViews>
    <workbookView xWindow="-120" yWindow="-120" windowWidth="20730" windowHeight="11040" xr2:uid="{964B22D8-42B5-47E9-A229-95F7D57B30E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D100" i="1"/>
  <c r="E100" i="1"/>
  <c r="C101" i="1"/>
  <c r="D101" i="1"/>
  <c r="E101" i="1"/>
  <c r="D99" i="1"/>
  <c r="E99" i="1"/>
  <c r="C99" i="1"/>
  <c r="D97" i="1"/>
  <c r="E97" i="1"/>
  <c r="C97" i="1"/>
  <c r="D96" i="1"/>
  <c r="E96" i="1"/>
  <c r="C96" i="1"/>
  <c r="D95" i="1"/>
  <c r="E95" i="1"/>
  <c r="C95" i="1"/>
  <c r="D94" i="1"/>
  <c r="E94" i="1"/>
  <c r="C94" i="1"/>
  <c r="D91" i="1"/>
  <c r="E91" i="1"/>
  <c r="D92" i="1"/>
  <c r="E92" i="1"/>
  <c r="D93" i="1"/>
  <c r="E93" i="1"/>
  <c r="C93" i="1"/>
  <c r="C92" i="1"/>
  <c r="C91" i="1"/>
  <c r="D90" i="1"/>
  <c r="E90" i="1"/>
  <c r="C90" i="1"/>
  <c r="E89" i="1"/>
  <c r="C89" i="1"/>
  <c r="D89" i="1"/>
  <c r="D86" i="1"/>
  <c r="E86" i="1"/>
  <c r="D87" i="1"/>
  <c r="E87" i="1"/>
  <c r="D88" i="1"/>
  <c r="E88" i="1"/>
  <c r="C87" i="1"/>
  <c r="C88" i="1"/>
  <c r="C8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C84" i="1"/>
  <c r="C83" i="1"/>
  <c r="C82" i="1"/>
  <c r="C81" i="1"/>
  <c r="C80" i="1"/>
  <c r="C79" i="1"/>
  <c r="C78" i="1"/>
  <c r="C77" i="1"/>
  <c r="C68" i="1"/>
  <c r="C69" i="1"/>
  <c r="C70" i="1"/>
  <c r="C71" i="1"/>
  <c r="C72" i="1"/>
  <c r="C73" i="1"/>
  <c r="C74" i="1"/>
  <c r="C75" i="1"/>
  <c r="C67" i="1"/>
  <c r="C60" i="1"/>
  <c r="C61" i="1"/>
  <c r="C62" i="1"/>
  <c r="C63" i="1"/>
  <c r="C64" i="1"/>
  <c r="C65" i="1"/>
  <c r="C59" i="1"/>
  <c r="D57" i="1"/>
  <c r="E57" i="1"/>
  <c r="C5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D42" i="1"/>
  <c r="D43" i="1"/>
  <c r="D44" i="1"/>
  <c r="D45" i="1"/>
  <c r="D46" i="1"/>
  <c r="D47" i="1"/>
  <c r="D48" i="1"/>
  <c r="D49" i="1"/>
  <c r="D50" i="1"/>
  <c r="D51" i="1"/>
  <c r="D52" i="1"/>
  <c r="D53" i="1"/>
  <c r="D41" i="1"/>
  <c r="C42" i="1"/>
  <c r="C43" i="1"/>
  <c r="C44" i="1"/>
  <c r="C45" i="1"/>
  <c r="C46" i="1"/>
  <c r="C47" i="1"/>
  <c r="C48" i="1"/>
  <c r="C49" i="1"/>
  <c r="C50" i="1"/>
  <c r="C51" i="1"/>
  <c r="C52" i="1"/>
  <c r="C53" i="1"/>
  <c r="C41" i="1"/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4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4" i="1"/>
  <c r="D3" i="1"/>
  <c r="E3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5" i="1"/>
  <c r="E15" i="1"/>
  <c r="D16" i="1"/>
  <c r="E16" i="1"/>
  <c r="D17" i="1"/>
  <c r="E17" i="1"/>
  <c r="D18" i="1"/>
  <c r="E18" i="1"/>
  <c r="D19" i="1"/>
  <c r="E19" i="1"/>
  <c r="D20" i="1"/>
  <c r="E20" i="1"/>
  <c r="C16" i="1"/>
  <c r="C17" i="1"/>
  <c r="C18" i="1"/>
  <c r="C19" i="1"/>
  <c r="C20" i="1"/>
  <c r="C15" i="1"/>
  <c r="C6" i="1"/>
  <c r="C7" i="1"/>
  <c r="C8" i="1"/>
  <c r="C9" i="1"/>
  <c r="C10" i="1"/>
  <c r="C11" i="1"/>
  <c r="C12" i="1"/>
  <c r="C13" i="1"/>
  <c r="C3" i="1"/>
  <c r="C5" i="1"/>
</calcChain>
</file>

<file path=xl/sharedStrings.xml><?xml version="1.0" encoding="utf-8"?>
<sst xmlns="http://schemas.openxmlformats.org/spreadsheetml/2006/main" count="125" uniqueCount="97">
  <si>
    <t>Income Statement: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</si>
  <si>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</si>
  <si>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</si>
  <si>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</si>
  <si>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</si>
  <si>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</si>
  <si>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</si>
  <si>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</si>
  <si>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</si>
  <si>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Cash Flow Statement:</t>
  </si>
  <si>
    <t>Historical Numbers</t>
  </si>
  <si>
    <t>Projected Numbers</t>
  </si>
  <si>
    <t>Balance Sheet:</t>
  </si>
  <si>
    <t>Total Revenue</t>
  </si>
  <si>
    <t>($ in millions)</t>
  </si>
  <si>
    <t>Operating Expenses:</t>
  </si>
  <si>
    <t>Personnel</t>
  </si>
  <si>
    <t>Marketing</t>
  </si>
  <si>
    <t>Network and processing</t>
  </si>
  <si>
    <t>Professional fees</t>
  </si>
  <si>
    <t>Depreciation and amortization</t>
  </si>
  <si>
    <t>General and administrative</t>
  </si>
  <si>
    <t>Litigation provision</t>
  </si>
  <si>
    <t>Operating Income:</t>
  </si>
  <si>
    <t>Total Operating Expenses:</t>
  </si>
  <si>
    <t>Non-operating Income (Expense)</t>
  </si>
  <si>
    <t>Interest expense</t>
  </si>
  <si>
    <t>Investment income (expense) and other</t>
  </si>
  <si>
    <t>Total non-operating income (expense)</t>
  </si>
  <si>
    <t>Income before income taxes</t>
  </si>
  <si>
    <t>Income tax provision</t>
  </si>
  <si>
    <t>Net Income</t>
  </si>
  <si>
    <t>Assets:</t>
  </si>
  <si>
    <t>Cash and equivalents</t>
  </si>
  <si>
    <t>Accounts receivable</t>
  </si>
  <si>
    <t>Investment securities</t>
  </si>
  <si>
    <t>Settlement receivable</t>
  </si>
  <si>
    <t>Customer collateral</t>
  </si>
  <si>
    <t>Current portion of client incentives</t>
  </si>
  <si>
    <t>Prepaid expenses and other current assets</t>
  </si>
  <si>
    <t>Total current assets</t>
  </si>
  <si>
    <t>Client incentives</t>
  </si>
  <si>
    <t>Property, equipment and technology, net</t>
  </si>
  <si>
    <t>Goodwill</t>
  </si>
  <si>
    <t>Intangible assets, net</t>
  </si>
  <si>
    <t>Other assets</t>
  </si>
  <si>
    <t>Total assets</t>
  </si>
  <si>
    <t>Accounts payable</t>
  </si>
  <si>
    <t>Settlement payable</t>
  </si>
  <si>
    <t>Accrued compensation and benefits</t>
  </si>
  <si>
    <t>Accrued liabilities</t>
  </si>
  <si>
    <t>Current maturities of debt</t>
  </si>
  <si>
    <t>Accrued litigation</t>
  </si>
  <si>
    <t>Total current liabilities</t>
  </si>
  <si>
    <t>Long-term debt</t>
  </si>
  <si>
    <t>Deferred tax liabilities</t>
  </si>
  <si>
    <t>Other liabilities</t>
  </si>
  <si>
    <t>Restricted cash (litigation escrow)</t>
  </si>
  <si>
    <t>Liabilities:</t>
  </si>
  <si>
    <t>Total Liabilities</t>
  </si>
  <si>
    <t>Net income</t>
  </si>
  <si>
    <t>Share-based compensation</t>
  </si>
  <si>
    <t>Deferred income taxes</t>
  </si>
  <si>
    <t>VE territory covered losses</t>
  </si>
  <si>
    <t>(Gains) losses on equity investments, net</t>
  </si>
  <si>
    <t>Other</t>
  </si>
  <si>
    <t>Change in operating assets and liabilities:</t>
  </si>
  <si>
    <t>Accrued and other liabilities</t>
  </si>
  <si>
    <t>Purchases of property, equipment and technology</t>
  </si>
  <si>
    <t>Purchases of investment securities</t>
  </si>
  <si>
    <t>Proceeds from maturities and sales of investment securities</t>
  </si>
  <si>
    <t>Acquisitions, net of cash and restricted cash acquired</t>
  </si>
  <si>
    <t>Purchases of other investments</t>
  </si>
  <si>
    <t>Proceeds from settlement of derivative instruments</t>
  </si>
  <si>
    <t>Other investing activities</t>
  </si>
  <si>
    <t>Repurchases of class A common stock</t>
  </si>
  <si>
    <t>Repayments of debt</t>
  </si>
  <si>
    <t>Dividends paid</t>
  </si>
  <si>
    <t>Proceeds from issuance of senior notes</t>
  </si>
  <si>
    <t>Proceeds from stock issued under equity plans</t>
  </si>
  <si>
    <t>Taxes paid related to stock issued under equity plans</t>
  </si>
  <si>
    <t>Other financing activities</t>
  </si>
  <si>
    <t>Net cash provided by (used in) financing activities</t>
  </si>
  <si>
    <t>Cash paid for income taxes, net(1)</t>
  </si>
  <si>
    <t>Interest payments on debt</t>
  </si>
  <si>
    <t>Accruals related to purchases of property, equipment and technology</t>
  </si>
  <si>
    <t>Operating Activities:</t>
  </si>
  <si>
    <t>Adjustments to reconcile net income to net cash provided by (used in) operating activities:</t>
  </si>
  <si>
    <t>Investing Activities:</t>
  </si>
  <si>
    <t>Net cash provided by (used in) investing activities:</t>
  </si>
  <si>
    <t>Net cash provided by (used in) operating activities:</t>
  </si>
  <si>
    <t>Financing Activities:</t>
  </si>
  <si>
    <t>Cash, cash equivalents, restricted cash and restricted cash equivalents as of end of period</t>
  </si>
  <si>
    <t>Cash, cash equivalents, restricted cash and restricted cash equivalents as of beginning of period</t>
  </si>
  <si>
    <t>Supplemental Disclosure:</t>
  </si>
  <si>
    <t>Effect of exchange rate changes on cash, cash equivalents, restricted cash and restricted cash equivalents</t>
  </si>
  <si>
    <t>Increase (decrease) in cash, cash equivalents, restricted cash and restricted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</si>
</sst>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37" fontId="0" fillId="0" borderId="0" xfId="0" applyNumberFormat="1"/>
    <xf numFmtId="0" fontId="1" fillId="0" borderId="2" xfId="0" applyFont="1" applyBorder="1"/>
    <xf numFmtId="42" fontId="0" fillId="0" borderId="2" xfId="0" applyNumberFormat="1" applyBorder="1"/>
    <xf numFmtId="0" fontId="0" fillId="0" borderId="2" xfId="0" applyBorder="1"/>
    <xf numFmtId="0" fontId="1" fillId="0" borderId="3" xfId="0" applyFont="1" applyBorder="1" applyAlignment="1">
      <alignment horizontal="left"/>
    </xf>
    <xf numFmtId="37" fontId="0" fillId="0" borderId="3" xfId="0" applyNumberForma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42" fontId="0" fillId="0" borderId="4" xfId="0" applyNumberForma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indent="1"/>
    </xf>
    <xf numFmtId="0" fontId="5" fillId="0" borderId="0" xfId="0" applyFont="1" applyAlignment="1">
      <alignment vertical="top"/>
    </xf>
    <xf numFmtId="42" fontId="0" fillId="0" borderId="0" xfId="0" applyNumberFormat="1"/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42" fontId="0" fillId="0" borderId="3" xfId="0" applyNumberFormat="1" applyBorder="1"/>
    <xf numFmtId="0" fontId="0" fillId="2" borderId="0" xfId="0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indent="1"/>
    </xf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hra\OneDrive\Desktop\3-Statement%20Model%20Visa\c5ba9cc5-7774-4de5-97a1-6b4de4880209.xls" TargetMode="External"/><Relationship Id="rId1" Type="http://schemas.openxmlformats.org/officeDocument/2006/relationships/externalLinkPath" Target="c5ba9cc5-7774-4de5-97a1-6b4de488020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hra\OneDrive\Desktop\3-Statement%20Model%20Visa\c5cbc55b-e827-4f80-b8c7-6f630128d93d.xls" TargetMode="External"/><Relationship Id="rId1" Type="http://schemas.openxmlformats.org/officeDocument/2006/relationships/externalLinkPath" Target="c5cbc55b-e827-4f80-b8c7-6f630128d9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_Of_Contents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TABLE10"/>
      <sheetName val="TABLE11"/>
      <sheetName val="TABLE12"/>
      <sheetName val="TABLE13"/>
      <sheetName val="TABLE14"/>
      <sheetName val="TABLE15"/>
      <sheetName val="TABLE16"/>
      <sheetName val="TABLE17"/>
      <sheetName val="TABLE18"/>
      <sheetName val="BALANCE_SHEET"/>
      <sheetName val="INCOME_STATEMENT"/>
      <sheetName val="TABLE19"/>
      <sheetName val="STOCKHOLDERS_EQUITY"/>
      <sheetName val="STOCKHOLDERS_EQUITY2"/>
      <sheetName val="STOCKHOLDERS_EQUITY3"/>
      <sheetName val="CASH_FLOW"/>
      <sheetName val="TABLE20"/>
      <sheetName val="TABLE21"/>
      <sheetName val="TABLE22"/>
      <sheetName val="TABLE23"/>
      <sheetName val="TABLE24"/>
      <sheetName val="TABLE25"/>
      <sheetName val="TABLE26"/>
      <sheetName val="TABLE27"/>
      <sheetName val="TABLE28"/>
      <sheetName val="TABLE29"/>
      <sheetName val="TABLE30"/>
      <sheetName val="TABLE31"/>
      <sheetName val="TABLE32"/>
      <sheetName val="TABLE33"/>
      <sheetName val="TABLE34"/>
      <sheetName val="TABLE35"/>
      <sheetName val="TABLE36"/>
      <sheetName val="TABLE37"/>
      <sheetName val="TABLE38"/>
      <sheetName val="TABLE39"/>
      <sheetName val="BALANCE_SHEET2"/>
      <sheetName val="TABLE40"/>
      <sheetName val="TABLE41"/>
      <sheetName val="TABLE42"/>
      <sheetName val="TABLE43"/>
      <sheetName val="TABLE44"/>
      <sheetName val="TABLE45"/>
      <sheetName val="TABLE46"/>
      <sheetName val="TABLE47"/>
      <sheetName val="TABLE48"/>
      <sheetName val="TABLE49"/>
      <sheetName val="TABLE50"/>
      <sheetName val="TABLE51"/>
      <sheetName val="TABLE52"/>
      <sheetName val="TABLE53"/>
      <sheetName val="TABLE54"/>
      <sheetName val="TABLE55"/>
      <sheetName val="TABLE56"/>
      <sheetName val="TABLE57"/>
      <sheetName val="TABLE58"/>
      <sheetName val="TABLE59"/>
      <sheetName val="TABLE60"/>
      <sheetName val="TABLE61"/>
      <sheetName val="TABLE62"/>
      <sheetName val="TABLE63"/>
      <sheetName val="TABLE64"/>
      <sheetName val="TABLE65"/>
      <sheetName val="TABLE66"/>
      <sheetName val="TABLE67"/>
      <sheetName val="SUBSIDIA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7">
          <cell r="C17">
            <v>11975</v>
          </cell>
          <cell r="D17">
            <v>17164</v>
          </cell>
        </row>
        <row r="18">
          <cell r="C18">
            <v>3089</v>
          </cell>
          <cell r="D18">
            <v>2990</v>
          </cell>
        </row>
        <row r="19">
          <cell r="C19">
            <v>3200</v>
          </cell>
          <cell r="D19">
            <v>1833</v>
          </cell>
        </row>
        <row r="20">
          <cell r="C20">
            <v>4454</v>
          </cell>
          <cell r="D20">
            <v>4191</v>
          </cell>
        </row>
        <row r="21">
          <cell r="C21">
            <v>2561</v>
          </cell>
          <cell r="D21">
            <v>3126</v>
          </cell>
        </row>
        <row r="22">
          <cell r="C22">
            <v>3524</v>
          </cell>
          <cell r="D22">
            <v>3625</v>
          </cell>
        </row>
        <row r="23">
          <cell r="C23">
            <v>1918</v>
          </cell>
          <cell r="D23">
            <v>2158</v>
          </cell>
        </row>
        <row r="24">
          <cell r="C24">
            <v>3312</v>
          </cell>
          <cell r="D24">
            <v>2679</v>
          </cell>
        </row>
        <row r="25">
          <cell r="C25">
            <v>34033</v>
          </cell>
          <cell r="D25">
            <v>37766</v>
          </cell>
        </row>
        <row r="26">
          <cell r="C26">
            <v>2545</v>
          </cell>
          <cell r="D26">
            <v>999</v>
          </cell>
        </row>
        <row r="27">
          <cell r="C27">
            <v>4628</v>
          </cell>
          <cell r="D27">
            <v>5157</v>
          </cell>
        </row>
        <row r="28">
          <cell r="C28">
            <v>3824</v>
          </cell>
          <cell r="D28">
            <v>4236</v>
          </cell>
        </row>
        <row r="29">
          <cell r="C29">
            <v>18941</v>
          </cell>
          <cell r="D29">
            <v>19879</v>
          </cell>
        </row>
        <row r="30">
          <cell r="C30">
            <v>26889</v>
          </cell>
          <cell r="D30">
            <v>27646</v>
          </cell>
        </row>
        <row r="31">
          <cell r="C31">
            <v>3651</v>
          </cell>
          <cell r="D31">
            <v>3944</v>
          </cell>
        </row>
        <row r="32">
          <cell r="C32">
            <v>94511</v>
          </cell>
          <cell r="D32">
            <v>99627</v>
          </cell>
        </row>
        <row r="34">
          <cell r="C34">
            <v>479</v>
          </cell>
          <cell r="D34">
            <v>555</v>
          </cell>
        </row>
        <row r="35">
          <cell r="C35">
            <v>5265</v>
          </cell>
          <cell r="D35">
            <v>4568</v>
          </cell>
        </row>
        <row r="36">
          <cell r="C36">
            <v>3524</v>
          </cell>
          <cell r="D36">
            <v>3625</v>
          </cell>
        </row>
        <row r="37">
          <cell r="C37">
            <v>1538</v>
          </cell>
          <cell r="D37">
            <v>1863</v>
          </cell>
        </row>
        <row r="38">
          <cell r="C38">
            <v>9075</v>
          </cell>
          <cell r="D38">
            <v>10369</v>
          </cell>
        </row>
        <row r="39">
          <cell r="C39">
            <v>4909</v>
          </cell>
          <cell r="D39">
            <v>5466</v>
          </cell>
        </row>
        <row r="40">
          <cell r="C40">
            <v>0</v>
          </cell>
          <cell r="D40">
            <v>5569</v>
          </cell>
        </row>
        <row r="41">
          <cell r="C41">
            <v>1727</v>
          </cell>
          <cell r="D41">
            <v>3033</v>
          </cell>
        </row>
        <row r="42">
          <cell r="C42">
            <v>26517</v>
          </cell>
          <cell r="D42">
            <v>35048</v>
          </cell>
        </row>
        <row r="43">
          <cell r="C43">
            <v>20836</v>
          </cell>
          <cell r="D43">
            <v>19602</v>
          </cell>
        </row>
        <row r="44">
          <cell r="C44">
            <v>5301</v>
          </cell>
          <cell r="D44">
            <v>5549</v>
          </cell>
        </row>
        <row r="45">
          <cell r="C45">
            <v>2720</v>
          </cell>
          <cell r="D45">
            <v>1519</v>
          </cell>
        </row>
        <row r="46">
          <cell r="C46">
            <v>55374</v>
          </cell>
          <cell r="D46">
            <v>61718</v>
          </cell>
        </row>
      </sheetData>
      <sheetData sheetId="20">
        <row r="18">
          <cell r="C18">
            <v>32653</v>
          </cell>
          <cell r="D18">
            <v>35926</v>
          </cell>
          <cell r="E18">
            <v>40000</v>
          </cell>
        </row>
        <row r="21">
          <cell r="C21">
            <v>5831</v>
          </cell>
          <cell r="D21">
            <v>6264</v>
          </cell>
          <cell r="E21">
            <v>6961</v>
          </cell>
        </row>
        <row r="22">
          <cell r="C22">
            <v>1341</v>
          </cell>
          <cell r="D22">
            <v>1560</v>
          </cell>
          <cell r="E22">
            <v>1684</v>
          </cell>
        </row>
        <row r="23">
          <cell r="C23">
            <v>736</v>
          </cell>
          <cell r="D23">
            <v>778</v>
          </cell>
          <cell r="E23">
            <v>894</v>
          </cell>
        </row>
        <row r="24">
          <cell r="C24">
            <v>545</v>
          </cell>
          <cell r="D24">
            <v>635</v>
          </cell>
          <cell r="E24">
            <v>759</v>
          </cell>
        </row>
        <row r="25">
          <cell r="C25">
            <v>943</v>
          </cell>
          <cell r="D25">
            <v>1034</v>
          </cell>
          <cell r="E25">
            <v>1220</v>
          </cell>
        </row>
        <row r="26">
          <cell r="C26">
            <v>1330</v>
          </cell>
          <cell r="D26">
            <v>1598</v>
          </cell>
          <cell r="E26">
            <v>1926</v>
          </cell>
        </row>
        <row r="27">
          <cell r="C27">
            <v>927</v>
          </cell>
          <cell r="D27">
            <v>462</v>
          </cell>
          <cell r="E27">
            <v>2562</v>
          </cell>
        </row>
        <row r="28">
          <cell r="C28">
            <v>11653</v>
          </cell>
          <cell r="D28">
            <v>12331</v>
          </cell>
          <cell r="E28">
            <v>16006</v>
          </cell>
        </row>
        <row r="29">
          <cell r="C29">
            <v>21000</v>
          </cell>
          <cell r="D29">
            <v>23595</v>
          </cell>
          <cell r="E29">
            <v>23994</v>
          </cell>
        </row>
        <row r="32">
          <cell r="C32">
            <v>-644</v>
          </cell>
          <cell r="D32">
            <v>-641</v>
          </cell>
          <cell r="E32">
            <v>-589</v>
          </cell>
        </row>
        <row r="33">
          <cell r="C33">
            <v>681</v>
          </cell>
          <cell r="D33">
            <v>962</v>
          </cell>
          <cell r="E33">
            <v>789</v>
          </cell>
        </row>
        <row r="34">
          <cell r="C34">
            <v>37</v>
          </cell>
          <cell r="D34">
            <v>321</v>
          </cell>
          <cell r="E34">
            <v>200</v>
          </cell>
        </row>
        <row r="35">
          <cell r="C35">
            <v>21037</v>
          </cell>
          <cell r="D35">
            <v>23916</v>
          </cell>
          <cell r="E35">
            <v>24194</v>
          </cell>
        </row>
        <row r="36">
          <cell r="C36">
            <v>3764</v>
          </cell>
          <cell r="D36">
            <v>4173</v>
          </cell>
          <cell r="E36">
            <v>4136</v>
          </cell>
        </row>
        <row r="37">
          <cell r="C37">
            <v>17273</v>
          </cell>
          <cell r="D37">
            <v>19743</v>
          </cell>
          <cell r="E37">
            <v>20058</v>
          </cell>
        </row>
      </sheetData>
      <sheetData sheetId="21"/>
      <sheetData sheetId="22"/>
      <sheetData sheetId="23"/>
      <sheetData sheetId="24"/>
      <sheetData sheetId="25">
        <row r="18">
          <cell r="C18">
            <v>17273</v>
          </cell>
          <cell r="D18">
            <v>19743</v>
          </cell>
          <cell r="E18">
            <v>20058</v>
          </cell>
        </row>
        <row r="21">
          <cell r="C21">
            <v>12297</v>
          </cell>
          <cell r="D21">
            <v>13764</v>
          </cell>
          <cell r="E21">
            <v>15751</v>
          </cell>
        </row>
        <row r="22">
          <cell r="C22">
            <v>765</v>
          </cell>
          <cell r="D22">
            <v>850</v>
          </cell>
          <cell r="E22">
            <v>897</v>
          </cell>
        </row>
        <row r="23">
          <cell r="C23">
            <v>943</v>
          </cell>
          <cell r="D23">
            <v>1034</v>
          </cell>
          <cell r="E23">
            <v>1220</v>
          </cell>
        </row>
        <row r="24">
          <cell r="C24">
            <v>-483</v>
          </cell>
          <cell r="D24">
            <v>-100</v>
          </cell>
          <cell r="E24">
            <v>152</v>
          </cell>
        </row>
        <row r="25">
          <cell r="C25">
            <v>-136</v>
          </cell>
          <cell r="D25">
            <v>-139</v>
          </cell>
          <cell r="E25">
            <v>-28</v>
          </cell>
        </row>
        <row r="26">
          <cell r="C26">
            <v>104</v>
          </cell>
          <cell r="D26">
            <v>94</v>
          </cell>
          <cell r="E26">
            <v>87</v>
          </cell>
        </row>
        <row r="27">
          <cell r="C27">
            <v>14</v>
          </cell>
          <cell r="D27">
            <v>136</v>
          </cell>
          <cell r="E27">
            <v>94</v>
          </cell>
        </row>
        <row r="29">
          <cell r="C29">
            <v>-160</v>
          </cell>
          <cell r="D29">
            <v>-2175</v>
          </cell>
          <cell r="E29">
            <v>374</v>
          </cell>
        </row>
        <row r="30">
          <cell r="C30">
            <v>-250</v>
          </cell>
          <cell r="D30">
            <v>-237</v>
          </cell>
          <cell r="E30">
            <v>-542</v>
          </cell>
        </row>
        <row r="31">
          <cell r="C31">
            <v>-11014</v>
          </cell>
          <cell r="D31">
            <v>-14067</v>
          </cell>
          <cell r="E31">
            <v>-15314</v>
          </cell>
        </row>
        <row r="32">
          <cell r="C32">
            <v>-24</v>
          </cell>
          <cell r="D32">
            <v>-199</v>
          </cell>
          <cell r="E32">
            <v>160</v>
          </cell>
        </row>
        <row r="33">
          <cell r="C33">
            <v>34</v>
          </cell>
          <cell r="D33">
            <v>109</v>
          </cell>
          <cell r="E33">
            <v>67</v>
          </cell>
        </row>
        <row r="34">
          <cell r="C34">
            <v>-194</v>
          </cell>
          <cell r="D34">
            <v>1841</v>
          </cell>
          <cell r="E34">
            <v>-847</v>
          </cell>
        </row>
        <row r="35">
          <cell r="C35">
            <v>1291</v>
          </cell>
          <cell r="D35">
            <v>-676</v>
          </cell>
          <cell r="E35">
            <v>-373</v>
          </cell>
        </row>
        <row r="36">
          <cell r="C36">
            <v>295</v>
          </cell>
          <cell r="D36">
            <v>-28</v>
          </cell>
          <cell r="E36">
            <v>1303</v>
          </cell>
        </row>
        <row r="37">
          <cell r="C37">
            <v>20755</v>
          </cell>
          <cell r="D37">
            <v>19950</v>
          </cell>
          <cell r="E37">
            <v>23059</v>
          </cell>
        </row>
        <row r="39">
          <cell r="C39">
            <v>-1059</v>
          </cell>
          <cell r="D39">
            <v>-1257</v>
          </cell>
          <cell r="E39">
            <v>-1482</v>
          </cell>
        </row>
        <row r="41">
          <cell r="C41">
            <v>-4363</v>
          </cell>
          <cell r="D41">
            <v>-4443</v>
          </cell>
          <cell r="E41">
            <v>0</v>
          </cell>
        </row>
        <row r="42">
          <cell r="C42">
            <v>3160</v>
          </cell>
          <cell r="D42">
            <v>5013</v>
          </cell>
          <cell r="E42">
            <v>3024</v>
          </cell>
        </row>
        <row r="43">
          <cell r="C43">
            <v>0</v>
          </cell>
          <cell r="D43">
            <v>-915</v>
          </cell>
          <cell r="E43">
            <v>-887</v>
          </cell>
        </row>
        <row r="44">
          <cell r="C44">
            <v>-121</v>
          </cell>
          <cell r="D44">
            <v>-231</v>
          </cell>
          <cell r="E44">
            <v>-68</v>
          </cell>
        </row>
        <row r="45">
          <cell r="C45">
            <v>402</v>
          </cell>
          <cell r="D45">
            <v>0</v>
          </cell>
          <cell r="E45">
            <v>0</v>
          </cell>
        </row>
        <row r="46">
          <cell r="C46">
            <v>-25</v>
          </cell>
          <cell r="D46">
            <v>-93</v>
          </cell>
          <cell r="E46">
            <v>121</v>
          </cell>
        </row>
        <row r="47">
          <cell r="C47">
            <v>-2006</v>
          </cell>
          <cell r="D47">
            <v>-1926</v>
          </cell>
          <cell r="E47">
            <v>708</v>
          </cell>
        </row>
        <row r="49">
          <cell r="C49">
            <v>-12101</v>
          </cell>
          <cell r="D49">
            <v>-16713</v>
          </cell>
          <cell r="E49">
            <v>-18316</v>
          </cell>
        </row>
        <row r="50">
          <cell r="C50">
            <v>-2250</v>
          </cell>
          <cell r="D50">
            <v>0</v>
          </cell>
          <cell r="E50">
            <v>0</v>
          </cell>
        </row>
        <row r="51">
          <cell r="C51">
            <v>-3751</v>
          </cell>
          <cell r="D51">
            <v>-4217</v>
          </cell>
          <cell r="E51">
            <v>-4634</v>
          </cell>
        </row>
        <row r="52">
          <cell r="C52">
            <v>0</v>
          </cell>
          <cell r="D52">
            <v>0</v>
          </cell>
          <cell r="E52">
            <v>3924</v>
          </cell>
        </row>
        <row r="53">
          <cell r="C53">
            <v>260</v>
          </cell>
          <cell r="D53">
            <v>335</v>
          </cell>
          <cell r="E53">
            <v>396</v>
          </cell>
        </row>
        <row r="54">
          <cell r="C54">
            <v>-130</v>
          </cell>
          <cell r="D54">
            <v>-208</v>
          </cell>
          <cell r="E54">
            <v>-281</v>
          </cell>
        </row>
        <row r="55">
          <cell r="C55">
            <v>200</v>
          </cell>
          <cell r="D55">
            <v>170</v>
          </cell>
          <cell r="E55">
            <v>-52</v>
          </cell>
        </row>
        <row r="56">
          <cell r="C56">
            <v>-17772</v>
          </cell>
          <cell r="D56">
            <v>-20633</v>
          </cell>
          <cell r="E56">
            <v>-18963</v>
          </cell>
        </row>
        <row r="58">
          <cell r="C58">
            <v>636</v>
          </cell>
          <cell r="D58">
            <v>382</v>
          </cell>
          <cell r="E58">
            <v>420</v>
          </cell>
        </row>
        <row r="60">
          <cell r="C60">
            <v>1613</v>
          </cell>
          <cell r="D60">
            <v>-2227</v>
          </cell>
          <cell r="E60">
            <v>5224</v>
          </cell>
        </row>
        <row r="62">
          <cell r="C62">
            <v>20377</v>
          </cell>
          <cell r="D62">
            <v>21990</v>
          </cell>
          <cell r="E62">
            <v>19763</v>
          </cell>
        </row>
        <row r="64">
          <cell r="C64">
            <v>21990</v>
          </cell>
          <cell r="D64">
            <v>19763</v>
          </cell>
          <cell r="E64">
            <v>24987</v>
          </cell>
        </row>
        <row r="66">
          <cell r="C66">
            <v>3433</v>
          </cell>
          <cell r="D66">
            <v>5775</v>
          </cell>
          <cell r="E66">
            <v>4541</v>
          </cell>
        </row>
        <row r="67">
          <cell r="C67">
            <v>617</v>
          </cell>
          <cell r="D67">
            <v>583</v>
          </cell>
          <cell r="E67">
            <v>587</v>
          </cell>
        </row>
        <row r="68">
          <cell r="C68">
            <v>96</v>
          </cell>
          <cell r="D68">
            <v>52</v>
          </cell>
          <cell r="E68">
            <v>59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_Of_Contents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TABLE10"/>
      <sheetName val="TABLE11"/>
      <sheetName val="TABLE12"/>
      <sheetName val="TABLE13"/>
      <sheetName val="TABLE14"/>
      <sheetName val="TABLE15"/>
      <sheetName val="TABLE16"/>
      <sheetName val="TABLE17"/>
      <sheetName val="TABLE18"/>
      <sheetName val="TABLE19"/>
      <sheetName val="BALANCE_SHEET"/>
      <sheetName val="INCOME_STATEMENT"/>
      <sheetName val="TABLE20"/>
      <sheetName val="STOCKHOLDERS_EQUITY"/>
      <sheetName val="STOCKHOLDERS_EQUITY2"/>
      <sheetName val="STOCKHOLDERS_EQUITY3"/>
      <sheetName val="CASH_FLOW"/>
      <sheetName val="TABLE21"/>
      <sheetName val="TABLE22"/>
      <sheetName val="TABLE23"/>
      <sheetName val="TABLE24"/>
      <sheetName val="TABLE25"/>
      <sheetName val="TABLE26"/>
      <sheetName val="TABLE27"/>
      <sheetName val="TABLE28"/>
      <sheetName val="TABLE29"/>
      <sheetName val="TABLE30"/>
      <sheetName val="TABLE31"/>
      <sheetName val="TABLE32"/>
      <sheetName val="TABLE33"/>
      <sheetName val="TABLE34"/>
      <sheetName val="TABLE35"/>
      <sheetName val="TABLE36"/>
      <sheetName val="TABLE37"/>
      <sheetName val="TABLE38"/>
      <sheetName val="TABLE39"/>
      <sheetName val="TABLE40"/>
      <sheetName val="BALANCE_SHEET2"/>
      <sheetName val="TABLE41"/>
      <sheetName val="TABLE42"/>
      <sheetName val="TABLE43"/>
      <sheetName val="TABLE44"/>
      <sheetName val="TABLE45"/>
      <sheetName val="TABLE46"/>
      <sheetName val="TABLE47"/>
      <sheetName val="TABLE48"/>
      <sheetName val="TABLE49"/>
      <sheetName val="TABLE50"/>
      <sheetName val="TABLE51"/>
      <sheetName val="TABLE52"/>
      <sheetName val="TABLE53"/>
      <sheetName val="TABLE54"/>
      <sheetName val="TABLE55"/>
      <sheetName val="TABLE56"/>
      <sheetName val="TABLE57"/>
      <sheetName val="TABLE58"/>
      <sheetName val="TABLE59"/>
      <sheetName val="TABLE60"/>
      <sheetName val="TABLE61"/>
      <sheetName val="TABLE62"/>
      <sheetName val="TABLE63"/>
      <sheetName val="TABLE64"/>
      <sheetName val="TABLE65"/>
      <sheetName val="TABLE66"/>
      <sheetName val="TABLE67"/>
      <sheetName val="TABLE68"/>
      <sheetName val="SUBSIDIA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8">
          <cell r="C18">
            <v>16286</v>
          </cell>
        </row>
        <row r="19">
          <cell r="C19">
            <v>1764</v>
          </cell>
        </row>
        <row r="20">
          <cell r="C20">
            <v>3842</v>
          </cell>
        </row>
        <row r="21">
          <cell r="C21">
            <v>2183</v>
          </cell>
        </row>
        <row r="22">
          <cell r="C22">
            <v>2291</v>
          </cell>
        </row>
        <row r="23">
          <cell r="C23">
            <v>3005</v>
          </cell>
        </row>
        <row r="24">
          <cell r="C24">
            <v>1577</v>
          </cell>
        </row>
        <row r="25">
          <cell r="C25">
            <v>2584</v>
          </cell>
        </row>
        <row r="26">
          <cell r="C26">
            <v>33532</v>
          </cell>
        </row>
        <row r="27">
          <cell r="C27">
            <v>1921</v>
          </cell>
        </row>
        <row r="28">
          <cell r="C28">
            <v>3789</v>
          </cell>
        </row>
        <row r="29">
          <cell r="C29">
            <v>3425</v>
          </cell>
        </row>
        <row r="30">
          <cell r="C30">
            <v>17997</v>
          </cell>
        </row>
        <row r="31">
          <cell r="C31">
            <v>26104</v>
          </cell>
        </row>
        <row r="32">
          <cell r="C32">
            <v>3731</v>
          </cell>
        </row>
        <row r="33">
          <cell r="C33">
            <v>90499</v>
          </cell>
        </row>
        <row r="35">
          <cell r="C35">
            <v>375</v>
          </cell>
        </row>
        <row r="36">
          <cell r="C36">
            <v>3269</v>
          </cell>
        </row>
        <row r="37">
          <cell r="C37">
            <v>3005</v>
          </cell>
        </row>
        <row r="38">
          <cell r="C38">
            <v>1506</v>
          </cell>
        </row>
        <row r="39">
          <cell r="C39">
            <v>8177</v>
          </cell>
        </row>
        <row r="40">
          <cell r="C40">
            <v>5015</v>
          </cell>
        </row>
        <row r="42">
          <cell r="C42">
            <v>1751</v>
          </cell>
        </row>
        <row r="43">
          <cell r="C43">
            <v>23098</v>
          </cell>
        </row>
        <row r="44">
          <cell r="C44">
            <v>20463</v>
          </cell>
        </row>
        <row r="45">
          <cell r="C45">
            <v>5114</v>
          </cell>
        </row>
        <row r="46">
          <cell r="C46">
            <v>3091</v>
          </cell>
        </row>
        <row r="47">
          <cell r="C47">
            <v>51766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1CDC-E640-4DD2-B051-E368A3962B8F}">
  <dimension ref="B1:J101"/>
  <sheetViews>
    <sheetView showGridLines="0" tabSelected="1" workbookViewId="0">
      <selection activeCell="C1" sqref="C1"/>
    </sheetView>
  </sheetViews>
  <sheetFormatPr defaultRowHeight="15" x14ac:dyDescent="0.25"/>
  <cols>
    <col min="1" max="1" width="2.7109375" customWidth="1"/>
    <col min="2" max="2" width="93.28515625" bestFit="1" customWidth="1"/>
    <col min="5" max="5" width="9.5703125" bestFit="1" customWidth="1"/>
  </cols>
  <sheetData>
    <row r="1" spans="2:10" x14ac:dyDescent="0.25">
      <c r="B1" s="24" t="s">
        <v>14</v>
      </c>
      <c r="C1" s="25" t="s">
        <v>10</v>
      </c>
      <c r="D1" s="26"/>
      <c r="E1" s="26"/>
      <c r="F1" s="27" t="s">
        <v>11</v>
      </c>
      <c r="G1" s="28"/>
      <c r="H1" s="28"/>
      <c r="I1" s="28"/>
      <c r="J1" s="28"/>
    </row>
    <row r="2" spans="2:10" x14ac:dyDescent="0.25">
      <c r="B2" s="1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25">
      <c r="B3" s="8" t="s">
        <v>13</v>
      </c>
      <c r="C3" s="9">
        <f>[1]INCOME_STATEMENT!C18</f>
        <v>32653</v>
      </c>
      <c r="D3" s="9">
        <f>[1]INCOME_STATEMENT!D18</f>
        <v>35926</v>
      </c>
      <c r="E3" s="9">
        <f>[1]INCOME_STATEMENT!E18</f>
        <v>40000</v>
      </c>
      <c r="F3" s="10"/>
      <c r="G3" s="10"/>
      <c r="H3" s="10"/>
      <c r="I3" s="10"/>
      <c r="J3" s="10"/>
    </row>
    <row r="4" spans="2:10" x14ac:dyDescent="0.25">
      <c r="B4" s="6" t="s">
        <v>15</v>
      </c>
    </row>
    <row r="5" spans="2:10" x14ac:dyDescent="0.25">
      <c r="B5" s="5" t="s">
        <v>16</v>
      </c>
      <c r="C5" s="7">
        <f>[1]INCOME_STATEMENT!C21</f>
        <v>5831</v>
      </c>
      <c r="D5" s="7">
        <f>[1]INCOME_STATEMENT!D21</f>
        <v>6264</v>
      </c>
      <c r="E5" s="7">
        <f>[1]INCOME_STATEMENT!E21</f>
        <v>6961</v>
      </c>
    </row>
    <row r="6" spans="2:10" x14ac:dyDescent="0.25">
      <c r="B6" s="5" t="s">
        <v>17</v>
      </c>
      <c r="C6" s="7">
        <f>[1]INCOME_STATEMENT!C22</f>
        <v>1341</v>
      </c>
      <c r="D6" s="7">
        <f>[1]INCOME_STATEMENT!D22</f>
        <v>1560</v>
      </c>
      <c r="E6" s="7">
        <f>[1]INCOME_STATEMENT!E22</f>
        <v>1684</v>
      </c>
    </row>
    <row r="7" spans="2:10" x14ac:dyDescent="0.25">
      <c r="B7" s="5" t="s">
        <v>18</v>
      </c>
      <c r="C7" s="7">
        <f>[1]INCOME_STATEMENT!C23</f>
        <v>736</v>
      </c>
      <c r="D7" s="7">
        <f>[1]INCOME_STATEMENT!D23</f>
        <v>778</v>
      </c>
      <c r="E7" s="7">
        <f>[1]INCOME_STATEMENT!E23</f>
        <v>894</v>
      </c>
    </row>
    <row r="8" spans="2:10" x14ac:dyDescent="0.25">
      <c r="B8" s="5" t="s">
        <v>19</v>
      </c>
      <c r="C8" s="7">
        <f>[1]INCOME_STATEMENT!C24</f>
        <v>545</v>
      </c>
      <c r="D8" s="7">
        <f>[1]INCOME_STATEMENT!D24</f>
        <v>635</v>
      </c>
      <c r="E8" s="7">
        <f>[1]INCOME_STATEMENT!E24</f>
        <v>759</v>
      </c>
    </row>
    <row r="9" spans="2:10" x14ac:dyDescent="0.25">
      <c r="B9" s="5" t="s">
        <v>20</v>
      </c>
      <c r="C9" s="7">
        <f>[1]INCOME_STATEMENT!C25</f>
        <v>943</v>
      </c>
      <c r="D9" s="7">
        <f>[1]INCOME_STATEMENT!D25</f>
        <v>1034</v>
      </c>
      <c r="E9" s="7">
        <f>[1]INCOME_STATEMENT!E25</f>
        <v>1220</v>
      </c>
    </row>
    <row r="10" spans="2:10" x14ac:dyDescent="0.25">
      <c r="B10" s="5" t="s">
        <v>21</v>
      </c>
      <c r="C10" s="7">
        <f>[1]INCOME_STATEMENT!C26</f>
        <v>1330</v>
      </c>
      <c r="D10" s="7">
        <f>[1]INCOME_STATEMENT!D26</f>
        <v>1598</v>
      </c>
      <c r="E10" s="7">
        <f>[1]INCOME_STATEMENT!E26</f>
        <v>1926</v>
      </c>
    </row>
    <row r="11" spans="2:10" x14ac:dyDescent="0.25">
      <c r="B11" s="5" t="s">
        <v>22</v>
      </c>
      <c r="C11" s="7">
        <f>[1]INCOME_STATEMENT!C27</f>
        <v>927</v>
      </c>
      <c r="D11" s="7">
        <f>[1]INCOME_STATEMENT!D27</f>
        <v>462</v>
      </c>
      <c r="E11" s="7">
        <f>[1]INCOME_STATEMENT!E27</f>
        <v>2562</v>
      </c>
    </row>
    <row r="12" spans="2:10" x14ac:dyDescent="0.25">
      <c r="B12" s="4" t="s">
        <v>24</v>
      </c>
      <c r="C12" s="7">
        <f>[1]INCOME_STATEMENT!C28</f>
        <v>11653</v>
      </c>
      <c r="D12" s="7">
        <f>[1]INCOME_STATEMENT!D28</f>
        <v>12331</v>
      </c>
      <c r="E12" s="7">
        <f>[1]INCOME_STATEMENT!E28</f>
        <v>16006</v>
      </c>
    </row>
    <row r="13" spans="2:10" x14ac:dyDescent="0.25">
      <c r="B13" s="11" t="s">
        <v>23</v>
      </c>
      <c r="C13" s="12">
        <f>[1]INCOME_STATEMENT!C29</f>
        <v>21000</v>
      </c>
      <c r="D13" s="12">
        <f>[1]INCOME_STATEMENT!D29</f>
        <v>23595</v>
      </c>
      <c r="E13" s="12">
        <f>[1]INCOME_STATEMENT!E29</f>
        <v>23994</v>
      </c>
      <c r="F13" s="13"/>
      <c r="G13" s="13"/>
      <c r="H13" s="13"/>
      <c r="I13" s="13"/>
      <c r="J13" s="13"/>
    </row>
    <row r="14" spans="2:10" x14ac:dyDescent="0.25">
      <c r="B14" t="s">
        <v>25</v>
      </c>
    </row>
    <row r="15" spans="2:10" x14ac:dyDescent="0.25">
      <c r="B15" s="5" t="s">
        <v>26</v>
      </c>
      <c r="C15" s="7">
        <f>[1]INCOME_STATEMENT!C32</f>
        <v>-644</v>
      </c>
      <c r="D15" s="7">
        <f>[1]INCOME_STATEMENT!D32</f>
        <v>-641</v>
      </c>
      <c r="E15" s="7">
        <f>[1]INCOME_STATEMENT!E32</f>
        <v>-589</v>
      </c>
    </row>
    <row r="16" spans="2:10" x14ac:dyDescent="0.25">
      <c r="B16" s="5" t="s">
        <v>27</v>
      </c>
      <c r="C16" s="7">
        <f>[1]INCOME_STATEMENT!C33</f>
        <v>681</v>
      </c>
      <c r="D16" s="7">
        <f>[1]INCOME_STATEMENT!D33</f>
        <v>962</v>
      </c>
      <c r="E16" s="7">
        <f>[1]INCOME_STATEMENT!E33</f>
        <v>789</v>
      </c>
    </row>
    <row r="17" spans="2:10" x14ac:dyDescent="0.25">
      <c r="B17" s="4" t="s">
        <v>28</v>
      </c>
      <c r="C17" s="7">
        <f>[1]INCOME_STATEMENT!C34</f>
        <v>37</v>
      </c>
      <c r="D17" s="7">
        <f>[1]INCOME_STATEMENT!D34</f>
        <v>321</v>
      </c>
      <c r="E17" s="7">
        <f>[1]INCOME_STATEMENT!E34</f>
        <v>200</v>
      </c>
    </row>
    <row r="18" spans="2:10" x14ac:dyDescent="0.25">
      <c r="B18" t="s">
        <v>29</v>
      </c>
      <c r="C18" s="7">
        <f>[1]INCOME_STATEMENT!C35</f>
        <v>21037</v>
      </c>
      <c r="D18" s="7">
        <f>[1]INCOME_STATEMENT!D35</f>
        <v>23916</v>
      </c>
      <c r="E18" s="7">
        <f>[1]INCOME_STATEMENT!E35</f>
        <v>24194</v>
      </c>
    </row>
    <row r="19" spans="2:10" x14ac:dyDescent="0.25">
      <c r="B19" t="s">
        <v>30</v>
      </c>
      <c r="C19" s="7">
        <f>[1]INCOME_STATEMENT!C36</f>
        <v>3764</v>
      </c>
      <c r="D19" s="7">
        <f>[1]INCOME_STATEMENT!D36</f>
        <v>4173</v>
      </c>
      <c r="E19" s="7">
        <f>[1]INCOME_STATEMENT!E36</f>
        <v>4136</v>
      </c>
    </row>
    <row r="20" spans="2:10" ht="15.75" thickBot="1" x14ac:dyDescent="0.3">
      <c r="B20" s="14" t="s">
        <v>31</v>
      </c>
      <c r="C20" s="16">
        <f>[1]INCOME_STATEMENT!C37</f>
        <v>17273</v>
      </c>
      <c r="D20" s="16">
        <f>[1]INCOME_STATEMENT!D37</f>
        <v>19743</v>
      </c>
      <c r="E20" s="16">
        <f>[1]INCOME_STATEMENT!E37</f>
        <v>20058</v>
      </c>
      <c r="F20" s="15"/>
      <c r="G20" s="15"/>
      <c r="H20" s="15"/>
      <c r="I20" s="15"/>
      <c r="J20" s="15"/>
    </row>
    <row r="22" spans="2:10" x14ac:dyDescent="0.25">
      <c r="B22" s="1" t="s">
        <v>12</v>
      </c>
      <c r="C22" s="3" t="s">
        <v>1</v>
      </c>
      <c r="D22" s="3" t="s">
        <v>2</v>
      </c>
      <c r="E22" s="3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</row>
    <row r="23" spans="2:10" x14ac:dyDescent="0.25">
      <c r="B23" s="4" t="s">
        <v>32</v>
      </c>
    </row>
    <row r="24" spans="2:10" x14ac:dyDescent="0.25">
      <c r="B24" s="5" t="s">
        <v>33</v>
      </c>
      <c r="C24" s="7">
        <f>[2]BALANCE_SHEET!C18</f>
        <v>16286</v>
      </c>
      <c r="D24" s="7">
        <f>[1]BALANCE_SHEET!C17</f>
        <v>11975</v>
      </c>
      <c r="E24" s="7">
        <f>[1]BALANCE_SHEET!D17</f>
        <v>17164</v>
      </c>
    </row>
    <row r="25" spans="2:10" x14ac:dyDescent="0.25">
      <c r="B25" s="18" t="s">
        <v>57</v>
      </c>
      <c r="C25" s="7">
        <f>[2]BALANCE_SHEET!C19</f>
        <v>1764</v>
      </c>
      <c r="D25" s="7">
        <f>[1]BALANCE_SHEET!C18</f>
        <v>3089</v>
      </c>
      <c r="E25" s="7">
        <f>[1]BALANCE_SHEET!D18</f>
        <v>2990</v>
      </c>
    </row>
    <row r="26" spans="2:10" x14ac:dyDescent="0.25">
      <c r="B26" s="18" t="s">
        <v>35</v>
      </c>
      <c r="C26" s="7">
        <f>[2]BALANCE_SHEET!C20</f>
        <v>3842</v>
      </c>
      <c r="D26" s="7">
        <f>[1]BALANCE_SHEET!C19</f>
        <v>3200</v>
      </c>
      <c r="E26" s="7">
        <f>[1]BALANCE_SHEET!D19</f>
        <v>1833</v>
      </c>
    </row>
    <row r="27" spans="2:10" x14ac:dyDescent="0.25">
      <c r="B27" s="18" t="s">
        <v>36</v>
      </c>
      <c r="C27" s="7">
        <f>[2]BALANCE_SHEET!C21</f>
        <v>2183</v>
      </c>
      <c r="D27" s="7">
        <f>[1]BALANCE_SHEET!C20</f>
        <v>4454</v>
      </c>
      <c r="E27" s="7">
        <f>[1]BALANCE_SHEET!D20</f>
        <v>4191</v>
      </c>
    </row>
    <row r="28" spans="2:10" x14ac:dyDescent="0.25">
      <c r="B28" s="18" t="s">
        <v>34</v>
      </c>
      <c r="C28" s="7">
        <f>[2]BALANCE_SHEET!C22</f>
        <v>2291</v>
      </c>
      <c r="D28" s="7">
        <f>[1]BALANCE_SHEET!C21</f>
        <v>2561</v>
      </c>
      <c r="E28" s="7">
        <f>[1]BALANCE_SHEET!D21</f>
        <v>3126</v>
      </c>
    </row>
    <row r="29" spans="2:10" x14ac:dyDescent="0.25">
      <c r="B29" s="18" t="s">
        <v>37</v>
      </c>
      <c r="C29" s="7">
        <f>[2]BALANCE_SHEET!C23</f>
        <v>3005</v>
      </c>
      <c r="D29" s="7">
        <f>[1]BALANCE_SHEET!C22</f>
        <v>3524</v>
      </c>
      <c r="E29" s="7">
        <f>[1]BALANCE_SHEET!D22</f>
        <v>3625</v>
      </c>
    </row>
    <row r="30" spans="2:10" x14ac:dyDescent="0.25">
      <c r="B30" s="18" t="s">
        <v>38</v>
      </c>
      <c r="C30" s="7">
        <f>[2]BALANCE_SHEET!C24</f>
        <v>1577</v>
      </c>
      <c r="D30" s="7">
        <f>[1]BALANCE_SHEET!C23</f>
        <v>1918</v>
      </c>
      <c r="E30" s="7">
        <f>[1]BALANCE_SHEET!D23</f>
        <v>2158</v>
      </c>
    </row>
    <row r="31" spans="2:10" x14ac:dyDescent="0.25">
      <c r="B31" s="18" t="s">
        <v>39</v>
      </c>
      <c r="C31" s="7">
        <f>[2]BALANCE_SHEET!C25</f>
        <v>2584</v>
      </c>
      <c r="D31" s="7">
        <f>[1]BALANCE_SHEET!C24</f>
        <v>3312</v>
      </c>
      <c r="E31" s="7">
        <f>[1]BALANCE_SHEET!D24</f>
        <v>2679</v>
      </c>
    </row>
    <row r="32" spans="2:10" x14ac:dyDescent="0.25">
      <c r="B32" s="19" t="s">
        <v>40</v>
      </c>
      <c r="C32" s="7">
        <f>[2]BALANCE_SHEET!C26</f>
        <v>33532</v>
      </c>
      <c r="D32" s="7">
        <f>[1]BALANCE_SHEET!C25</f>
        <v>34033</v>
      </c>
      <c r="E32" s="7">
        <f>[1]BALANCE_SHEET!D25</f>
        <v>37766</v>
      </c>
    </row>
    <row r="33" spans="2:10" x14ac:dyDescent="0.25">
      <c r="B33" s="17" t="s">
        <v>35</v>
      </c>
      <c r="C33" s="7">
        <f>[2]BALANCE_SHEET!C27</f>
        <v>1921</v>
      </c>
      <c r="D33" s="7">
        <f>[1]BALANCE_SHEET!C26</f>
        <v>2545</v>
      </c>
      <c r="E33" s="7">
        <f>[1]BALANCE_SHEET!D26</f>
        <v>999</v>
      </c>
    </row>
    <row r="34" spans="2:10" x14ac:dyDescent="0.25">
      <c r="B34" s="17" t="s">
        <v>41</v>
      </c>
      <c r="C34" s="7">
        <f>[2]BALANCE_SHEET!C28</f>
        <v>3789</v>
      </c>
      <c r="D34" s="7">
        <f>[1]BALANCE_SHEET!C27</f>
        <v>4628</v>
      </c>
      <c r="E34" s="7">
        <f>[1]BALANCE_SHEET!D27</f>
        <v>5157</v>
      </c>
    </row>
    <row r="35" spans="2:10" x14ac:dyDescent="0.25">
      <c r="B35" s="17" t="s">
        <v>42</v>
      </c>
      <c r="C35" s="7">
        <f>[2]BALANCE_SHEET!C29</f>
        <v>3425</v>
      </c>
      <c r="D35" s="7">
        <f>[1]BALANCE_SHEET!C28</f>
        <v>3824</v>
      </c>
      <c r="E35" s="7">
        <f>[1]BALANCE_SHEET!D28</f>
        <v>4236</v>
      </c>
    </row>
    <row r="36" spans="2:10" x14ac:dyDescent="0.25">
      <c r="B36" s="17" t="s">
        <v>43</v>
      </c>
      <c r="C36" s="7">
        <f>[2]BALANCE_SHEET!C30</f>
        <v>17997</v>
      </c>
      <c r="D36" s="7">
        <f>[1]BALANCE_SHEET!C29</f>
        <v>18941</v>
      </c>
      <c r="E36" s="7">
        <f>[1]BALANCE_SHEET!D29</f>
        <v>19879</v>
      </c>
    </row>
    <row r="37" spans="2:10" x14ac:dyDescent="0.25">
      <c r="B37" s="17" t="s">
        <v>44</v>
      </c>
      <c r="C37" s="7">
        <f>[2]BALANCE_SHEET!C31</f>
        <v>26104</v>
      </c>
      <c r="D37" s="7">
        <f>[1]BALANCE_SHEET!C30</f>
        <v>26889</v>
      </c>
      <c r="E37" s="7">
        <f>[1]BALANCE_SHEET!D30</f>
        <v>27646</v>
      </c>
    </row>
    <row r="38" spans="2:10" x14ac:dyDescent="0.25">
      <c r="B38" s="17" t="s">
        <v>45</v>
      </c>
      <c r="C38" s="7">
        <f>[2]BALANCE_SHEET!C32</f>
        <v>3731</v>
      </c>
      <c r="D38" s="7">
        <f>[1]BALANCE_SHEET!C31</f>
        <v>3651</v>
      </c>
      <c r="E38" s="7">
        <f>[1]BALANCE_SHEET!D31</f>
        <v>3944</v>
      </c>
    </row>
    <row r="39" spans="2:10" x14ac:dyDescent="0.25">
      <c r="B39" s="21" t="s">
        <v>46</v>
      </c>
      <c r="C39" s="23">
        <f>[2]BALANCE_SHEET!C33</f>
        <v>90499</v>
      </c>
      <c r="D39" s="23">
        <f>[1]BALANCE_SHEET!C32</f>
        <v>94511</v>
      </c>
      <c r="E39" s="23">
        <f>[1]BALANCE_SHEET!D32</f>
        <v>99627</v>
      </c>
      <c r="F39" s="13"/>
      <c r="G39" s="13"/>
      <c r="H39" s="13"/>
      <c r="I39" s="13"/>
      <c r="J39" s="13"/>
    </row>
    <row r="40" spans="2:10" x14ac:dyDescent="0.25">
      <c r="B40" s="19" t="s">
        <v>58</v>
      </c>
    </row>
    <row r="41" spans="2:10" x14ac:dyDescent="0.25">
      <c r="B41" s="18" t="s">
        <v>47</v>
      </c>
      <c r="C41" s="7">
        <f>[2]BALANCE_SHEET!C35</f>
        <v>375</v>
      </c>
      <c r="D41" s="7">
        <f>[1]BALANCE_SHEET!C34</f>
        <v>479</v>
      </c>
      <c r="E41" s="7">
        <f>[1]BALANCE_SHEET!D34</f>
        <v>555</v>
      </c>
    </row>
    <row r="42" spans="2:10" x14ac:dyDescent="0.25">
      <c r="B42" s="18" t="s">
        <v>48</v>
      </c>
      <c r="C42" s="7">
        <f>[2]BALANCE_SHEET!C36</f>
        <v>3269</v>
      </c>
      <c r="D42" s="7">
        <f>[1]BALANCE_SHEET!C35</f>
        <v>5265</v>
      </c>
      <c r="E42" s="7">
        <f>[1]BALANCE_SHEET!D35</f>
        <v>4568</v>
      </c>
    </row>
    <row r="43" spans="2:10" x14ac:dyDescent="0.25">
      <c r="B43" s="18" t="s">
        <v>37</v>
      </c>
      <c r="C43" s="7">
        <f>[2]BALANCE_SHEET!C37</f>
        <v>3005</v>
      </c>
      <c r="D43" s="7">
        <f>[1]BALANCE_SHEET!C36</f>
        <v>3524</v>
      </c>
      <c r="E43" s="7">
        <f>[1]BALANCE_SHEET!D36</f>
        <v>3625</v>
      </c>
    </row>
    <row r="44" spans="2:10" x14ac:dyDescent="0.25">
      <c r="B44" s="18" t="s">
        <v>49</v>
      </c>
      <c r="C44" s="7">
        <f>[2]BALANCE_SHEET!C38</f>
        <v>1506</v>
      </c>
      <c r="D44" s="7">
        <f>[1]BALANCE_SHEET!C37</f>
        <v>1538</v>
      </c>
      <c r="E44" s="7">
        <f>[1]BALANCE_SHEET!D37</f>
        <v>1863</v>
      </c>
    </row>
    <row r="45" spans="2:10" x14ac:dyDescent="0.25">
      <c r="B45" s="18" t="s">
        <v>41</v>
      </c>
      <c r="C45" s="7">
        <f>[2]BALANCE_SHEET!C39</f>
        <v>8177</v>
      </c>
      <c r="D45" s="7">
        <f>[1]BALANCE_SHEET!C38</f>
        <v>9075</v>
      </c>
      <c r="E45" s="7">
        <f>[1]BALANCE_SHEET!D38</f>
        <v>10369</v>
      </c>
    </row>
    <row r="46" spans="2:10" x14ac:dyDescent="0.25">
      <c r="B46" s="18" t="s">
        <v>50</v>
      </c>
      <c r="C46" s="7">
        <f>[2]BALANCE_SHEET!C40</f>
        <v>5015</v>
      </c>
      <c r="D46" s="7">
        <f>[1]BALANCE_SHEET!C39</f>
        <v>4909</v>
      </c>
      <c r="E46" s="7">
        <f>[1]BALANCE_SHEET!D39</f>
        <v>5466</v>
      </c>
    </row>
    <row r="47" spans="2:10" x14ac:dyDescent="0.25">
      <c r="B47" s="18" t="s">
        <v>51</v>
      </c>
      <c r="C47" s="7">
        <f>[2]BALANCE_SHEET!C41</f>
        <v>0</v>
      </c>
      <c r="D47" s="7">
        <f>[1]BALANCE_SHEET!C40</f>
        <v>0</v>
      </c>
      <c r="E47" s="7">
        <f>[1]BALANCE_SHEET!D40</f>
        <v>5569</v>
      </c>
    </row>
    <row r="48" spans="2:10" x14ac:dyDescent="0.25">
      <c r="B48" s="18" t="s">
        <v>52</v>
      </c>
      <c r="C48" s="7">
        <f>[2]BALANCE_SHEET!C42</f>
        <v>1751</v>
      </c>
      <c r="D48" s="7">
        <f>[1]BALANCE_SHEET!C41</f>
        <v>1727</v>
      </c>
      <c r="E48" s="7">
        <f>[1]BALANCE_SHEET!D41</f>
        <v>3033</v>
      </c>
    </row>
    <row r="49" spans="2:10" x14ac:dyDescent="0.25">
      <c r="B49" s="18" t="s">
        <v>53</v>
      </c>
      <c r="C49" s="7">
        <f>[2]BALANCE_SHEET!C43</f>
        <v>23098</v>
      </c>
      <c r="D49" s="7">
        <f>[1]BALANCE_SHEET!C42</f>
        <v>26517</v>
      </c>
      <c r="E49" s="7">
        <f>[1]BALANCE_SHEET!D42</f>
        <v>35048</v>
      </c>
    </row>
    <row r="50" spans="2:10" x14ac:dyDescent="0.25">
      <c r="B50" s="18" t="s">
        <v>54</v>
      </c>
      <c r="C50" s="7">
        <f>[2]BALANCE_SHEET!C44</f>
        <v>20463</v>
      </c>
      <c r="D50" s="7">
        <f>[1]BALANCE_SHEET!C43</f>
        <v>20836</v>
      </c>
      <c r="E50" s="7">
        <f>[1]BALANCE_SHEET!D43</f>
        <v>19602</v>
      </c>
    </row>
    <row r="51" spans="2:10" x14ac:dyDescent="0.25">
      <c r="B51" s="18" t="s">
        <v>55</v>
      </c>
      <c r="C51" s="7">
        <f>[2]BALANCE_SHEET!C45</f>
        <v>5114</v>
      </c>
      <c r="D51" s="7">
        <f>[1]BALANCE_SHEET!C44</f>
        <v>5301</v>
      </c>
      <c r="E51" s="7">
        <f>[1]BALANCE_SHEET!D44</f>
        <v>5549</v>
      </c>
    </row>
    <row r="52" spans="2:10" x14ac:dyDescent="0.25">
      <c r="B52" s="18" t="s">
        <v>56</v>
      </c>
      <c r="C52" s="7">
        <f>[2]BALANCE_SHEET!C46</f>
        <v>3091</v>
      </c>
      <c r="D52" s="7">
        <f>[1]BALANCE_SHEET!C45</f>
        <v>2720</v>
      </c>
      <c r="E52" s="7">
        <f>[1]BALANCE_SHEET!D45</f>
        <v>1519</v>
      </c>
    </row>
    <row r="53" spans="2:10" ht="15.75" thickBot="1" x14ac:dyDescent="0.3">
      <c r="B53" s="22" t="s">
        <v>59</v>
      </c>
      <c r="C53" s="16">
        <f>[2]BALANCE_SHEET!C47</f>
        <v>51766</v>
      </c>
      <c r="D53" s="16">
        <f>[1]BALANCE_SHEET!C46</f>
        <v>55374</v>
      </c>
      <c r="E53" s="16">
        <f>[1]BALANCE_SHEET!D46</f>
        <v>61718</v>
      </c>
      <c r="F53" s="15"/>
      <c r="G53" s="15"/>
      <c r="H53" s="15"/>
      <c r="I53" s="15"/>
      <c r="J53" s="15"/>
    </row>
    <row r="55" spans="2:10" x14ac:dyDescent="0.25">
      <c r="B55" s="1" t="s">
        <v>9</v>
      </c>
      <c r="C55" s="3" t="s">
        <v>1</v>
      </c>
      <c r="D55" s="3" t="s">
        <v>2</v>
      </c>
      <c r="E55" s="3" t="s">
        <v>3</v>
      </c>
      <c r="F55" s="2" t="s">
        <v>4</v>
      </c>
      <c r="G55" s="2" t="s">
        <v>5</v>
      </c>
      <c r="H55" s="2" t="s">
        <v>6</v>
      </c>
      <c r="I55" s="2" t="s">
        <v>7</v>
      </c>
      <c r="J55" s="2" t="s">
        <v>8</v>
      </c>
    </row>
    <row r="56" spans="2:10" x14ac:dyDescent="0.25">
      <c r="B56" s="19" t="s">
        <v>86</v>
      </c>
    </row>
    <row r="57" spans="2:10" x14ac:dyDescent="0.25">
      <c r="B57" s="17" t="s">
        <v>60</v>
      </c>
      <c r="C57" s="20">
        <f>[1]CASH_FLOW!C18</f>
        <v>17273</v>
      </c>
      <c r="D57" s="20">
        <f>[1]CASH_FLOW!D18</f>
        <v>19743</v>
      </c>
      <c r="E57" s="20">
        <f>[1]CASH_FLOW!E18</f>
        <v>20058</v>
      </c>
    </row>
    <row r="58" spans="2:10" x14ac:dyDescent="0.25">
      <c r="B58" s="17" t="s">
        <v>87</v>
      </c>
    </row>
    <row r="59" spans="2:10" x14ac:dyDescent="0.25">
      <c r="B59" s="18" t="s">
        <v>41</v>
      </c>
      <c r="C59" s="7">
        <f>[1]CASH_FLOW!C21</f>
        <v>12297</v>
      </c>
      <c r="D59" s="7">
        <f>[1]CASH_FLOW!D21</f>
        <v>13764</v>
      </c>
      <c r="E59" s="7">
        <f>[1]CASH_FLOW!E21</f>
        <v>15751</v>
      </c>
    </row>
    <row r="60" spans="2:10" x14ac:dyDescent="0.25">
      <c r="B60" s="18" t="s">
        <v>61</v>
      </c>
      <c r="C60" s="7">
        <f>[1]CASH_FLOW!C22</f>
        <v>765</v>
      </c>
      <c r="D60" s="7">
        <f>[1]CASH_FLOW!D22</f>
        <v>850</v>
      </c>
      <c r="E60" s="7">
        <f>[1]CASH_FLOW!E22</f>
        <v>897</v>
      </c>
    </row>
    <row r="61" spans="2:10" x14ac:dyDescent="0.25">
      <c r="B61" s="18" t="s">
        <v>20</v>
      </c>
      <c r="C61" s="7">
        <f>[1]CASH_FLOW!C23</f>
        <v>943</v>
      </c>
      <c r="D61" s="7">
        <f>[1]CASH_FLOW!D23</f>
        <v>1034</v>
      </c>
      <c r="E61" s="7">
        <f>[1]CASH_FLOW!E23</f>
        <v>1220</v>
      </c>
    </row>
    <row r="62" spans="2:10" x14ac:dyDescent="0.25">
      <c r="B62" s="18" t="s">
        <v>62</v>
      </c>
      <c r="C62" s="7">
        <f>[1]CASH_FLOW!C24</f>
        <v>-483</v>
      </c>
      <c r="D62" s="7">
        <f>[1]CASH_FLOW!D24</f>
        <v>-100</v>
      </c>
      <c r="E62" s="7">
        <f>[1]CASH_FLOW!E24</f>
        <v>152</v>
      </c>
    </row>
    <row r="63" spans="2:10" x14ac:dyDescent="0.25">
      <c r="B63" s="18" t="s">
        <v>63</v>
      </c>
      <c r="C63" s="7">
        <f>[1]CASH_FLOW!C25</f>
        <v>-136</v>
      </c>
      <c r="D63" s="7">
        <f>[1]CASH_FLOW!D25</f>
        <v>-139</v>
      </c>
      <c r="E63" s="7">
        <f>[1]CASH_FLOW!E25</f>
        <v>-28</v>
      </c>
    </row>
    <row r="64" spans="2:10" x14ac:dyDescent="0.25">
      <c r="B64" s="18" t="s">
        <v>64</v>
      </c>
      <c r="C64" s="7">
        <f>[1]CASH_FLOW!C26</f>
        <v>104</v>
      </c>
      <c r="D64" s="7">
        <f>[1]CASH_FLOW!D26</f>
        <v>94</v>
      </c>
      <c r="E64" s="7">
        <f>[1]CASH_FLOW!E26</f>
        <v>87</v>
      </c>
    </row>
    <row r="65" spans="2:10" x14ac:dyDescent="0.25">
      <c r="B65" s="18" t="s">
        <v>65</v>
      </c>
      <c r="C65" s="7">
        <f>[1]CASH_FLOW!C27</f>
        <v>14</v>
      </c>
      <c r="D65" s="7">
        <f>[1]CASH_FLOW!D27</f>
        <v>136</v>
      </c>
      <c r="E65" s="7">
        <f>[1]CASH_FLOW!E27</f>
        <v>94</v>
      </c>
    </row>
    <row r="66" spans="2:10" x14ac:dyDescent="0.25">
      <c r="B66" s="30" t="s">
        <v>66</v>
      </c>
    </row>
    <row r="67" spans="2:10" x14ac:dyDescent="0.25">
      <c r="B67" s="18" t="s">
        <v>36</v>
      </c>
      <c r="C67" s="7">
        <f>[1]CASH_FLOW!C29</f>
        <v>-160</v>
      </c>
      <c r="D67" s="7">
        <f>[1]CASH_FLOW!D29</f>
        <v>-2175</v>
      </c>
      <c r="E67" s="7">
        <f>[1]CASH_FLOW!E29</f>
        <v>374</v>
      </c>
    </row>
    <row r="68" spans="2:10" x14ac:dyDescent="0.25">
      <c r="B68" s="18" t="s">
        <v>34</v>
      </c>
      <c r="C68" s="7">
        <f>[1]CASH_FLOW!C30</f>
        <v>-250</v>
      </c>
      <c r="D68" s="7">
        <f>[1]CASH_FLOW!D30</f>
        <v>-237</v>
      </c>
      <c r="E68" s="7">
        <f>[1]CASH_FLOW!E30</f>
        <v>-542</v>
      </c>
    </row>
    <row r="69" spans="2:10" x14ac:dyDescent="0.25">
      <c r="B69" s="18" t="s">
        <v>41</v>
      </c>
      <c r="C69" s="7">
        <f>[1]CASH_FLOW!C31</f>
        <v>-11014</v>
      </c>
      <c r="D69" s="7">
        <f>[1]CASH_FLOW!D31</f>
        <v>-14067</v>
      </c>
      <c r="E69" s="7">
        <f>[1]CASH_FLOW!E31</f>
        <v>-15314</v>
      </c>
    </row>
    <row r="70" spans="2:10" x14ac:dyDescent="0.25">
      <c r="B70" s="18" t="s">
        <v>45</v>
      </c>
      <c r="C70" s="7">
        <f>[1]CASH_FLOW!C32</f>
        <v>-24</v>
      </c>
      <c r="D70" s="7">
        <f>[1]CASH_FLOW!D32</f>
        <v>-199</v>
      </c>
      <c r="E70" s="7">
        <f>[1]CASH_FLOW!E32</f>
        <v>160</v>
      </c>
    </row>
    <row r="71" spans="2:10" x14ac:dyDescent="0.25">
      <c r="B71" s="18" t="s">
        <v>47</v>
      </c>
      <c r="C71" s="7">
        <f>[1]CASH_FLOW!C33</f>
        <v>34</v>
      </c>
      <c r="D71" s="7">
        <f>[1]CASH_FLOW!D33</f>
        <v>109</v>
      </c>
      <c r="E71" s="7">
        <f>[1]CASH_FLOW!E33</f>
        <v>67</v>
      </c>
    </row>
    <row r="72" spans="2:10" x14ac:dyDescent="0.25">
      <c r="B72" s="18" t="s">
        <v>48</v>
      </c>
      <c r="C72" s="7">
        <f>[1]CASH_FLOW!C34</f>
        <v>-194</v>
      </c>
      <c r="D72" s="7">
        <f>[1]CASH_FLOW!D34</f>
        <v>1841</v>
      </c>
      <c r="E72" s="7">
        <f>[1]CASH_FLOW!E34</f>
        <v>-847</v>
      </c>
    </row>
    <row r="73" spans="2:10" x14ac:dyDescent="0.25">
      <c r="B73" s="18" t="s">
        <v>67</v>
      </c>
      <c r="C73" s="7">
        <f>[1]CASH_FLOW!C35</f>
        <v>1291</v>
      </c>
      <c r="D73" s="7">
        <f>[1]CASH_FLOW!D35</f>
        <v>-676</v>
      </c>
      <c r="E73" s="7">
        <f>[1]CASH_FLOW!E35</f>
        <v>-373</v>
      </c>
    </row>
    <row r="74" spans="2:10" x14ac:dyDescent="0.25">
      <c r="B74" s="18" t="s">
        <v>52</v>
      </c>
      <c r="C74" s="7">
        <f>[1]CASH_FLOW!C36</f>
        <v>295</v>
      </c>
      <c r="D74" s="7">
        <f>[1]CASH_FLOW!D36</f>
        <v>-28</v>
      </c>
      <c r="E74" s="7">
        <f>[1]CASH_FLOW!E36</f>
        <v>1303</v>
      </c>
    </row>
    <row r="75" spans="2:10" x14ac:dyDescent="0.25">
      <c r="B75" s="21" t="s">
        <v>90</v>
      </c>
      <c r="C75" s="12">
        <f>[1]CASH_FLOW!C37</f>
        <v>20755</v>
      </c>
      <c r="D75" s="12">
        <f>[1]CASH_FLOW!D37</f>
        <v>19950</v>
      </c>
      <c r="E75" s="12">
        <f>[1]CASH_FLOW!E37</f>
        <v>23059</v>
      </c>
      <c r="F75" s="13"/>
      <c r="G75" s="13"/>
      <c r="H75" s="13"/>
      <c r="I75" s="13"/>
      <c r="J75" s="13"/>
    </row>
    <row r="76" spans="2:10" x14ac:dyDescent="0.25">
      <c r="B76" s="19" t="s">
        <v>88</v>
      </c>
    </row>
    <row r="77" spans="2:10" x14ac:dyDescent="0.25">
      <c r="B77" s="18" t="s">
        <v>68</v>
      </c>
      <c r="C77" s="7">
        <f>[1]CASH_FLOW!C39</f>
        <v>-1059</v>
      </c>
      <c r="D77" s="7">
        <f>[1]CASH_FLOW!D39</f>
        <v>-1257</v>
      </c>
      <c r="E77" s="7">
        <f>[1]CASH_FLOW!E39</f>
        <v>-1482</v>
      </c>
    </row>
    <row r="78" spans="2:10" x14ac:dyDescent="0.25">
      <c r="B78" s="18" t="s">
        <v>69</v>
      </c>
      <c r="C78" s="7">
        <f>[1]CASH_FLOW!C41</f>
        <v>-4363</v>
      </c>
      <c r="D78" s="7">
        <f>[1]CASH_FLOW!D41</f>
        <v>-4443</v>
      </c>
      <c r="E78" s="7">
        <f>[1]CASH_FLOW!E41</f>
        <v>0</v>
      </c>
    </row>
    <row r="79" spans="2:10" x14ac:dyDescent="0.25">
      <c r="B79" s="18" t="s">
        <v>70</v>
      </c>
      <c r="C79" s="7">
        <f>[1]CASH_FLOW!C42</f>
        <v>3160</v>
      </c>
      <c r="D79" s="7">
        <f>[1]CASH_FLOW!D42</f>
        <v>5013</v>
      </c>
      <c r="E79" s="7">
        <f>[1]CASH_FLOW!E42</f>
        <v>3024</v>
      </c>
    </row>
    <row r="80" spans="2:10" x14ac:dyDescent="0.25">
      <c r="B80" s="18" t="s">
        <v>71</v>
      </c>
      <c r="C80" s="33">
        <f>[1]CASH_FLOW!C43</f>
        <v>0</v>
      </c>
      <c r="D80" s="33">
        <f>[1]CASH_FLOW!D43</f>
        <v>-915</v>
      </c>
      <c r="E80" s="33">
        <f>[1]CASH_FLOW!E43</f>
        <v>-887</v>
      </c>
    </row>
    <row r="81" spans="2:10" x14ac:dyDescent="0.25">
      <c r="B81" s="18" t="s">
        <v>72</v>
      </c>
      <c r="C81" s="7">
        <f>[1]CASH_FLOW!C44</f>
        <v>-121</v>
      </c>
      <c r="D81" s="7">
        <f>[1]CASH_FLOW!D44</f>
        <v>-231</v>
      </c>
      <c r="E81" s="7">
        <f>[1]CASH_FLOW!E44</f>
        <v>-68</v>
      </c>
    </row>
    <row r="82" spans="2:10" x14ac:dyDescent="0.25">
      <c r="B82" s="18" t="s">
        <v>73</v>
      </c>
      <c r="C82" s="7">
        <f>[1]CASH_FLOW!C45</f>
        <v>402</v>
      </c>
      <c r="D82" s="7">
        <f>[1]CASH_FLOW!D45</f>
        <v>0</v>
      </c>
      <c r="E82" s="7">
        <f>[1]CASH_FLOW!E45</f>
        <v>0</v>
      </c>
    </row>
    <row r="83" spans="2:10" x14ac:dyDescent="0.25">
      <c r="B83" s="18" t="s">
        <v>74</v>
      </c>
      <c r="C83" s="7">
        <f>[1]CASH_FLOW!C46</f>
        <v>-25</v>
      </c>
      <c r="D83" s="7">
        <f>[1]CASH_FLOW!D46</f>
        <v>-93</v>
      </c>
      <c r="E83" s="7">
        <f>[1]CASH_FLOW!E46</f>
        <v>121</v>
      </c>
    </row>
    <row r="84" spans="2:10" x14ac:dyDescent="0.25">
      <c r="B84" s="21" t="s">
        <v>89</v>
      </c>
      <c r="C84" s="12">
        <f>[1]CASH_FLOW!C47</f>
        <v>-2006</v>
      </c>
      <c r="D84" s="12">
        <f>[1]CASH_FLOW!D47</f>
        <v>-1926</v>
      </c>
      <c r="E84" s="12">
        <f>[1]CASH_FLOW!E47</f>
        <v>708</v>
      </c>
      <c r="F84" s="13"/>
      <c r="G84" s="13"/>
      <c r="H84" s="13"/>
      <c r="I84" s="13"/>
      <c r="J84" s="13"/>
    </row>
    <row r="85" spans="2:10" x14ac:dyDescent="0.25">
      <c r="B85" s="19" t="s">
        <v>91</v>
      </c>
    </row>
    <row r="86" spans="2:10" x14ac:dyDescent="0.25">
      <c r="B86" s="18" t="s">
        <v>75</v>
      </c>
      <c r="C86" s="7">
        <f>[1]CASH_FLOW!C49</f>
        <v>-12101</v>
      </c>
      <c r="D86" s="7">
        <f>[1]CASH_FLOW!D49</f>
        <v>-16713</v>
      </c>
      <c r="E86" s="7">
        <f>[1]CASH_FLOW!E49</f>
        <v>-18316</v>
      </c>
    </row>
    <row r="87" spans="2:10" x14ac:dyDescent="0.25">
      <c r="B87" s="18" t="s">
        <v>76</v>
      </c>
      <c r="C87" s="7">
        <f>[1]CASH_FLOW!C50</f>
        <v>-2250</v>
      </c>
      <c r="D87" s="7">
        <f>[1]CASH_FLOW!D50</f>
        <v>0</v>
      </c>
      <c r="E87" s="7">
        <f>[1]CASH_FLOW!E50</f>
        <v>0</v>
      </c>
    </row>
    <row r="88" spans="2:10" x14ac:dyDescent="0.25">
      <c r="B88" s="18" t="s">
        <v>77</v>
      </c>
      <c r="C88" s="7">
        <f>[1]CASH_FLOW!C51</f>
        <v>-3751</v>
      </c>
      <c r="D88" s="7">
        <f>[1]CASH_FLOW!D51</f>
        <v>-4217</v>
      </c>
      <c r="E88" s="7">
        <f>[1]CASH_FLOW!E51</f>
        <v>-4634</v>
      </c>
    </row>
    <row r="89" spans="2:10" x14ac:dyDescent="0.25">
      <c r="B89" s="18" t="s">
        <v>78</v>
      </c>
      <c r="C89" s="33">
        <f>[1]CASH_FLOW!C52</f>
        <v>0</v>
      </c>
      <c r="D89" s="33">
        <f>[1]CASH_FLOW!D52</f>
        <v>0</v>
      </c>
      <c r="E89" s="33">
        <f>[1]CASH_FLOW!E52</f>
        <v>3924</v>
      </c>
    </row>
    <row r="90" spans="2:10" x14ac:dyDescent="0.25">
      <c r="B90" s="18" t="s">
        <v>79</v>
      </c>
      <c r="C90" s="7">
        <f>[1]CASH_FLOW!C53</f>
        <v>260</v>
      </c>
      <c r="D90" s="7">
        <f>[1]CASH_FLOW!D53</f>
        <v>335</v>
      </c>
      <c r="E90" s="7">
        <f>[1]CASH_FLOW!E53</f>
        <v>396</v>
      </c>
    </row>
    <row r="91" spans="2:10" x14ac:dyDescent="0.25">
      <c r="B91" s="18" t="s">
        <v>80</v>
      </c>
      <c r="C91" s="7">
        <f>[1]CASH_FLOW!C54</f>
        <v>-130</v>
      </c>
      <c r="D91" s="7">
        <f>[1]CASH_FLOW!D54</f>
        <v>-208</v>
      </c>
      <c r="E91" s="7">
        <f>[1]CASH_FLOW!E54</f>
        <v>-281</v>
      </c>
    </row>
    <row r="92" spans="2:10" x14ac:dyDescent="0.25">
      <c r="B92" s="18" t="s">
        <v>81</v>
      </c>
      <c r="C92" s="7">
        <f>[1]CASH_FLOW!C55</f>
        <v>200</v>
      </c>
      <c r="D92" s="7">
        <f>[1]CASH_FLOW!D55</f>
        <v>170</v>
      </c>
      <c r="E92" s="7">
        <f>[1]CASH_FLOW!E55</f>
        <v>-52</v>
      </c>
    </row>
    <row r="93" spans="2:10" x14ac:dyDescent="0.25">
      <c r="B93" s="18" t="s">
        <v>82</v>
      </c>
      <c r="C93" s="7">
        <f>[1]CASH_FLOW!C56</f>
        <v>-17772</v>
      </c>
      <c r="D93" s="7">
        <f>[1]CASH_FLOW!D56</f>
        <v>-20633</v>
      </c>
      <c r="E93" s="7">
        <f>[1]CASH_FLOW!E56</f>
        <v>-18963</v>
      </c>
    </row>
    <row r="94" spans="2:10" x14ac:dyDescent="0.25">
      <c r="B94" s="18" t="s">
        <v>95</v>
      </c>
      <c r="C94" s="7">
        <f>[1]CASH_FLOW!C58</f>
        <v>636</v>
      </c>
      <c r="D94" s="7">
        <f>[1]CASH_FLOW!D58</f>
        <v>382</v>
      </c>
      <c r="E94" s="7">
        <f>[1]CASH_FLOW!E58</f>
        <v>420</v>
      </c>
    </row>
    <row r="95" spans="2:10" x14ac:dyDescent="0.25">
      <c r="B95" s="18" t="s">
        <v>96</v>
      </c>
      <c r="C95" s="7">
        <f>[1]CASH_FLOW!C60</f>
        <v>1613</v>
      </c>
      <c r="D95" s="7">
        <f>[1]CASH_FLOW!D60</f>
        <v>-2227</v>
      </c>
      <c r="E95" s="7">
        <f>[1]CASH_FLOW!E60</f>
        <v>5224</v>
      </c>
    </row>
    <row r="96" spans="2:10" x14ac:dyDescent="0.25">
      <c r="B96" s="29" t="s">
        <v>93</v>
      </c>
      <c r="C96" s="7">
        <f>[1]CASH_FLOW!C62</f>
        <v>20377</v>
      </c>
      <c r="D96" s="7">
        <f>[1]CASH_FLOW!D62</f>
        <v>21990</v>
      </c>
      <c r="E96" s="7">
        <f>[1]CASH_FLOW!E62</f>
        <v>19763</v>
      </c>
    </row>
    <row r="97" spans="2:10" x14ac:dyDescent="0.25">
      <c r="B97" s="31" t="s">
        <v>92</v>
      </c>
      <c r="C97" s="23">
        <f>[1]CASH_FLOW!C64</f>
        <v>21990</v>
      </c>
      <c r="D97" s="23">
        <f>[1]CASH_FLOW!D64</f>
        <v>19763</v>
      </c>
      <c r="E97" s="23">
        <f>[1]CASH_FLOW!E64</f>
        <v>24987</v>
      </c>
      <c r="F97" s="13"/>
      <c r="G97" s="13"/>
      <c r="H97" s="13"/>
      <c r="I97" s="13"/>
      <c r="J97" s="13"/>
    </row>
    <row r="98" spans="2:10" x14ac:dyDescent="0.25">
      <c r="B98" s="19" t="s">
        <v>94</v>
      </c>
    </row>
    <row r="99" spans="2:10" x14ac:dyDescent="0.25">
      <c r="B99" s="18" t="s">
        <v>83</v>
      </c>
      <c r="C99" s="20">
        <f>[1]CASH_FLOW!C66</f>
        <v>3433</v>
      </c>
      <c r="D99" s="20">
        <f>[1]CASH_FLOW!D66</f>
        <v>5775</v>
      </c>
      <c r="E99" s="20">
        <f>[1]CASH_FLOW!E66</f>
        <v>4541</v>
      </c>
    </row>
    <row r="100" spans="2:10" x14ac:dyDescent="0.25">
      <c r="B100" s="18" t="s">
        <v>84</v>
      </c>
      <c r="C100" s="20">
        <f>[1]CASH_FLOW!C67</f>
        <v>617</v>
      </c>
      <c r="D100" s="20">
        <f>[1]CASH_FLOW!D67</f>
        <v>583</v>
      </c>
      <c r="E100" s="20">
        <f>[1]CASH_FLOW!E67</f>
        <v>587</v>
      </c>
    </row>
    <row r="101" spans="2:10" ht="15.75" thickBot="1" x14ac:dyDescent="0.3">
      <c r="B101" s="32" t="s">
        <v>85</v>
      </c>
      <c r="C101" s="16">
        <f>[1]CASH_FLOW!C68</f>
        <v>96</v>
      </c>
      <c r="D101" s="16">
        <f>[1]CASH_FLOW!D68</f>
        <v>52</v>
      </c>
      <c r="E101" s="16">
        <f>[1]CASH_FLOW!E68</f>
        <v>59</v>
      </c>
      <c r="F101" s="15"/>
      <c r="G101" s="15"/>
      <c r="H101" s="15"/>
      <c r="I101" s="15"/>
      <c r="J101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Ruddock</dc:creator>
  <cp:lastModifiedBy>Donald Ruddock</cp:lastModifiedBy>
  <dcterms:created xsi:type="dcterms:W3CDTF">2026-04-04T12:07:59Z</dcterms:created>
  <dcterms:modified xsi:type="dcterms:W3CDTF">2026-04-07T22:29:51Z</dcterms:modified>
</cp:coreProperties>
</file>